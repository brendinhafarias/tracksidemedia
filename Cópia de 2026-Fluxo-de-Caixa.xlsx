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lanilha1" sheetId="1" r:id="rId4"/>
    <sheet state="visible" name="Clientes" sheetId="2" r:id="rId5"/>
    <sheet state="visible" name="Dados Cadastrais Clientes" sheetId="3" r:id="rId6"/>
    <sheet state="visible" name="Previsão de caixa" sheetId="4" r:id="rId7"/>
    <sheet state="visible" name="Lançamentos" sheetId="5" r:id="rId8"/>
    <sheet state="visible" name="Cadastros" sheetId="6" r:id="rId9"/>
    <sheet state="visible" name="Análise" sheetId="7" r:id="rId10"/>
    <sheet state="visible" name="Gráficos" sheetId="8" r:id="rId11"/>
  </sheets>
  <definedNames/>
  <calcPr/>
  <extLst>
    <ext uri="GoogleSheetsCustomDataVersion2">
      <go:sheetsCustomData xmlns:go="http://customooxmlschemas.google.com/" r:id="rId12" roundtripDataChecksum="3HuaPl1vopqCRQWPDptJj2XRVi7RC2ku4uw6Ph83EU0="/>
    </ext>
  </extLst>
</workbook>
</file>

<file path=xl/sharedStrings.xml><?xml version="1.0" encoding="utf-8"?>
<sst xmlns="http://schemas.openxmlformats.org/spreadsheetml/2006/main" count="432" uniqueCount="220">
  <si>
    <t>Razão Social</t>
  </si>
  <si>
    <t>CNPJ</t>
  </si>
  <si>
    <t>Endereço</t>
  </si>
  <si>
    <t>Telefone</t>
  </si>
  <si>
    <t>Insc Estaudal</t>
  </si>
  <si>
    <t>Insc Municipal</t>
  </si>
  <si>
    <t>HUB-LUB LIVE MARKETING LTDA</t>
  </si>
  <si>
    <t>10.492.925/0001-50</t>
  </si>
  <si>
    <t>Av. Roque Petroni Junior, 1089  – 7.o andar sala. 914
Centro Profissional Morumbi Shopping
04707-900  São Paulo-SP</t>
  </si>
  <si>
    <t>CLIENTES</t>
  </si>
  <si>
    <t>Previsão de caixa</t>
  </si>
  <si>
    <t>3.848.395-5</t>
  </si>
  <si>
    <t>PY2 RADIOSOM INSTALACOES, COMERCIO, IMPORTACAO E EXPORTACAO EIRELI</t>
  </si>
  <si>
    <t>11.061.010/0001-53</t>
  </si>
  <si>
    <t>R DO IMPERADOR, 250, 02.074-000 - Vila Paiva - São Paulo - SP</t>
  </si>
  <si>
    <t>VOGEL-RENNENPREPARACAODEVEICULOSDECOMPETICAOLTDA</t>
  </si>
  <si>
    <t>04.388.367/0002-66</t>
  </si>
  <si>
    <t xml:space="preserve">JOAO VON ZUBEN,116,CASA 03,CAPELA, Vinhedo - SP </t>
  </si>
  <si>
    <t xml:space="preserve">Chroma </t>
  </si>
  <si>
    <t xml:space="preserve">50.491.759/0001-92 </t>
  </si>
  <si>
    <t xml:space="preserve">Cadu e Andreia/ Inovação treinamentos e serviços ltda </t>
  </si>
  <si>
    <t>07.272.403/0001-39</t>
  </si>
  <si>
    <t xml:space="preserve">Porthack </t>
  </si>
  <si>
    <t>30.531.189/0001-00</t>
  </si>
  <si>
    <t xml:space="preserve">Previsão de despesas </t>
  </si>
  <si>
    <t>Paulo Maia</t>
  </si>
  <si>
    <t>VALOR CONTRATO</t>
  </si>
  <si>
    <t>RF PRODUCAO DE EVENTOS ESPORTIVOS LTDA. (AMattheis)</t>
  </si>
  <si>
    <t>07.655.267/0001-66</t>
  </si>
  <si>
    <t>R$5.500,00 (Vogel)</t>
  </si>
  <si>
    <t>SAE Brasil</t>
  </si>
  <si>
    <t>R$2.000,00 (Passagem)</t>
  </si>
  <si>
    <t>DATA VIGENCIA</t>
  </si>
  <si>
    <t>67.350.769/0001-00</t>
  </si>
  <si>
    <t>Av Paulista 726. CONJ 1303 G 30</t>
  </si>
  <si>
    <t>R$5.910,00 (Beto)</t>
  </si>
  <si>
    <t xml:space="preserve">RMattheis Off road /AC Preparações e operações LTDA </t>
  </si>
  <si>
    <t xml:space="preserve">48.781.977/0001-10 </t>
  </si>
  <si>
    <t>STATUS</t>
  </si>
  <si>
    <t>R$ 1.160,00 (Iza)</t>
  </si>
  <si>
    <t>POUPANÇA: (3.600 por 5 meses - ou seja - receber 5.200 atualmente)</t>
  </si>
  <si>
    <t>R$2.500,00 (AMM)</t>
  </si>
  <si>
    <t>TIPO SERVIÇO</t>
  </si>
  <si>
    <t>R$ 640,00 (Ju)</t>
  </si>
  <si>
    <t>R$2.500,00 (Fabio)</t>
  </si>
  <si>
    <t>R$ 420,00 (Uber)</t>
  </si>
  <si>
    <t>CNPJ VIC 67.170.505/0001-75</t>
  </si>
  <si>
    <t>CONTATO RESPONSÁVEL</t>
  </si>
  <si>
    <t>Abril PROJETADO</t>
  </si>
  <si>
    <t>CNPJ Marina  54.501.083/0001-21</t>
  </si>
  <si>
    <t>R$1.250,00 (Kaká)</t>
  </si>
  <si>
    <t>R$ 700,00 (Frela etapa)</t>
  </si>
  <si>
    <t>ENTRADAS</t>
  </si>
  <si>
    <t>Amattheis</t>
  </si>
  <si>
    <t>SAÍDAS</t>
  </si>
  <si>
    <t>R$ 1.200,00 (Renan)</t>
  </si>
  <si>
    <t>- (Videomarker)</t>
  </si>
  <si>
    <t>R$ 2.500,00</t>
  </si>
  <si>
    <t>R$423,49 (Curvelo)</t>
  </si>
  <si>
    <t>R$1.066,00 (CBA)</t>
  </si>
  <si>
    <t>R$459,00 (Uniforme)</t>
  </si>
  <si>
    <t>E</t>
  </si>
  <si>
    <t>R$2.100 (Porthack)</t>
  </si>
  <si>
    <t>R$ 1.050 (Bia Martins)</t>
  </si>
  <si>
    <t>Ativo</t>
  </si>
  <si>
    <t>Total: R$ 19.926,00</t>
  </si>
  <si>
    <t>Gestão de Mídias</t>
  </si>
  <si>
    <t>R$ 4920,00</t>
  </si>
  <si>
    <t>Rachel</t>
  </si>
  <si>
    <t>R$2.100,00 (Blau)</t>
  </si>
  <si>
    <t>Salário sócias: R$7.503,00</t>
  </si>
  <si>
    <t>R$1638,84 (Ida oficina hotel passagens)</t>
  </si>
  <si>
    <t>JAN</t>
  </si>
  <si>
    <t>R$3.198,00 (CBA)</t>
  </si>
  <si>
    <t>R$ 263,23 (ida sp e volta sp)</t>
  </si>
  <si>
    <t>R$2.100,00 (Porthack)</t>
  </si>
  <si>
    <t>Ano</t>
  </si>
  <si>
    <t>R$1211,97 Cuiabá marina</t>
  </si>
  <si>
    <t>R$ 1075,96 cuiaba victoria</t>
  </si>
  <si>
    <t>R$ 1.149,00 (Dani)</t>
  </si>
  <si>
    <t>R$640,00 (ju)</t>
  </si>
  <si>
    <t>AmattheisVogel</t>
  </si>
  <si>
    <t>R$1.050 (Bia)</t>
  </si>
  <si>
    <t xml:space="preserve">R$2.500,00 (AMM) </t>
  </si>
  <si>
    <t xml:space="preserve">R$160,00 </t>
  </si>
  <si>
    <t>R$ 25.008</t>
  </si>
  <si>
    <t>R$ 9.490,99</t>
  </si>
  <si>
    <t>R$ 5.500,00</t>
  </si>
  <si>
    <t>Caixa 15.517,01</t>
  </si>
  <si>
    <t>Caixa: 3.000,00</t>
  </si>
  <si>
    <t>R$4.600,00 (Hublub)</t>
  </si>
  <si>
    <t>Salário: 6.258,00</t>
  </si>
  <si>
    <t>Sabrina</t>
  </si>
  <si>
    <t xml:space="preserve">R$6.000,00 (Vogel) </t>
  </si>
  <si>
    <t>5K cada uma*</t>
  </si>
  <si>
    <t>ABRIL REAL</t>
  </si>
  <si>
    <t>Kaka Magno</t>
  </si>
  <si>
    <t xml:space="preserve">Previsão </t>
  </si>
  <si>
    <t>R$ 1.200,00</t>
  </si>
  <si>
    <t>R$1.500 (Andreia)</t>
  </si>
  <si>
    <t>Cobertura Real Time</t>
  </si>
  <si>
    <t>Kaka</t>
  </si>
  <si>
    <t>Eucomm Racing</t>
  </si>
  <si>
    <t>R$1211,97 (Cuiabá Marina)</t>
  </si>
  <si>
    <t>Dia 20/06</t>
  </si>
  <si>
    <t>FEV</t>
  </si>
  <si>
    <t>R$1075,96 (Cuiabá Victoria)</t>
  </si>
  <si>
    <t>Pago</t>
  </si>
  <si>
    <t>R$ 1.000,00 (Dani)</t>
  </si>
  <si>
    <t>Fabio</t>
  </si>
  <si>
    <t>Temos hoje: R$11.902</t>
  </si>
  <si>
    <t>R$4.651 (Freela Cuiabá)</t>
  </si>
  <si>
    <t>R$ 100 (Marina ida SP)</t>
  </si>
  <si>
    <t>Renan Guerra</t>
  </si>
  <si>
    <t>R$2.500 (amattheis)</t>
  </si>
  <si>
    <t>R$ 509,74 (Ida petrópolis)</t>
  </si>
  <si>
    <t>R$1.066 (cba)</t>
  </si>
  <si>
    <t>R$ 456 (Hotel petrópolis)</t>
  </si>
  <si>
    <t>900 (Ida e Volta Goiânia) Vic</t>
  </si>
  <si>
    <t>R$16.968</t>
  </si>
  <si>
    <t>R$4.651</t>
  </si>
  <si>
    <t>R$ 85,00 (Das Mei)</t>
  </si>
  <si>
    <t>R$209,02 (Uniforme Vic)</t>
  </si>
  <si>
    <t>Marina</t>
  </si>
  <si>
    <t>R$ 250(Uniforme Marina)</t>
  </si>
  <si>
    <t xml:space="preserve">Victoria </t>
  </si>
  <si>
    <t>Kati</t>
  </si>
  <si>
    <t>R$200 (Despesa Hotel)</t>
  </si>
  <si>
    <t>R$100 (Volta SP Marina)</t>
  </si>
  <si>
    <t>Cixa - R$582,00</t>
  </si>
  <si>
    <t>Porthack</t>
  </si>
  <si>
    <t>R$ 9.371,00</t>
  </si>
  <si>
    <t>R$ 1.800,00</t>
  </si>
  <si>
    <t>Total: R$15.637,00</t>
  </si>
  <si>
    <t>Distribuição</t>
  </si>
  <si>
    <t>Caixa Track: R$3.000</t>
  </si>
  <si>
    <t>Marina: R$ 6.318</t>
  </si>
  <si>
    <t>Victoria: R$6.318</t>
  </si>
  <si>
    <t>[URL]</t>
  </si>
  <si>
    <t>Cadu</t>
  </si>
  <si>
    <t>R$ 2.100,00</t>
  </si>
  <si>
    <t>Piloto 1 TN</t>
  </si>
  <si>
    <t>CFA</t>
  </si>
  <si>
    <t>R$1.066,00</t>
  </si>
  <si>
    <t>Rachel Loh</t>
  </si>
  <si>
    <t>Meli Racing/HubLub</t>
  </si>
  <si>
    <t>R$4.600,00</t>
  </si>
  <si>
    <t>Beto</t>
  </si>
  <si>
    <t>Frella Silvana</t>
  </si>
  <si>
    <t>MAR</t>
  </si>
  <si>
    <t>Em aberto</t>
  </si>
  <si>
    <t>ABR</t>
  </si>
  <si>
    <t>Todos</t>
  </si>
  <si>
    <t>MAI</t>
  </si>
  <si>
    <t>JUN</t>
  </si>
  <si>
    <t>Data</t>
  </si>
  <si>
    <t>JUL</t>
  </si>
  <si>
    <t>AGO</t>
  </si>
  <si>
    <t>Id</t>
  </si>
  <si>
    <t>Plano de Conta</t>
  </si>
  <si>
    <t>Coluna1</t>
  </si>
  <si>
    <t>SET</t>
  </si>
  <si>
    <t>Valor</t>
  </si>
  <si>
    <t>Valor_analise</t>
  </si>
  <si>
    <t>OUT</t>
  </si>
  <si>
    <t>NOV</t>
  </si>
  <si>
    <t>DEZ</t>
  </si>
  <si>
    <t>Uniforme</t>
  </si>
  <si>
    <t>Empresa:</t>
  </si>
  <si>
    <t>Trackside Media</t>
  </si>
  <si>
    <t>Plano de Contas</t>
  </si>
  <si>
    <t>Entradas</t>
  </si>
  <si>
    <t>Saídas</t>
  </si>
  <si>
    <t>S</t>
  </si>
  <si>
    <t>Renan Guerra/Chroma</t>
  </si>
  <si>
    <t>Salário Sócias</t>
  </si>
  <si>
    <t>Locomoção etapas/Uber</t>
  </si>
  <si>
    <t>Amattheis Vogel</t>
  </si>
  <si>
    <t>Designer</t>
  </si>
  <si>
    <t>Poupança - meses sem corrida</t>
  </si>
  <si>
    <t>Impostos</t>
  </si>
  <si>
    <t>Pagamento Freelas</t>
  </si>
  <si>
    <t>Cadu Campos</t>
  </si>
  <si>
    <t xml:space="preserve">Reembolso sócias </t>
  </si>
  <si>
    <t>Piloto TN - Paulo Maia</t>
  </si>
  <si>
    <t>Contador</t>
  </si>
  <si>
    <t>Equipe TN - Porthack</t>
  </si>
  <si>
    <t>Hublub</t>
  </si>
  <si>
    <t>Fotos/Estúdio</t>
  </si>
  <si>
    <t>Silvana (Freela)</t>
  </si>
  <si>
    <t>Hospedagem</t>
  </si>
  <si>
    <t>Helio Castroneves</t>
  </si>
  <si>
    <t>Avião/ônibus etapas</t>
  </si>
  <si>
    <t>Freela Silas Passos</t>
  </si>
  <si>
    <t>Alimentação</t>
  </si>
  <si>
    <t>Freela (Elleven)</t>
  </si>
  <si>
    <t>Equipamentos</t>
  </si>
  <si>
    <t>Advogado</t>
  </si>
  <si>
    <t>Entrada reembolso</t>
  </si>
  <si>
    <t>DAS Marina</t>
  </si>
  <si>
    <t>ENTRADA BATER CAIXA</t>
  </si>
  <si>
    <t>RMattheis</t>
  </si>
  <si>
    <t>DAS Victoria</t>
  </si>
  <si>
    <t>Personalize a planilha: Ajuste os nomes dos recebimentos de acordo com a sua realidade.</t>
  </si>
  <si>
    <t>⚠️ Para garantir o funcionamento, não acrescente ou remova linhas.</t>
  </si>
  <si>
    <t>Selecione o primeiro mês</t>
  </si>
  <si>
    <t>Status Pagamento</t>
  </si>
  <si>
    <t>\</t>
  </si>
  <si>
    <t>Selecione o ano</t>
  </si>
  <si>
    <t>Saldo Incial Caixa</t>
  </si>
  <si>
    <t>Saldo Inicial Caixa</t>
  </si>
  <si>
    <t>Selecione a Conta para analisar:</t>
  </si>
  <si>
    <t>Valor Total</t>
  </si>
  <si>
    <t>Valor Pago / Recebido</t>
  </si>
  <si>
    <t>Valor Em Aberto</t>
  </si>
  <si>
    <t>Locomoção etapas</t>
  </si>
  <si>
    <t>lançamento futuro</t>
  </si>
  <si>
    <t>Freelas</t>
  </si>
  <si>
    <t>Saldo Operacional</t>
  </si>
  <si>
    <t>Saldo Acumulado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</si>
</sst>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_-* #,##0.00_-;\-* #,##0.00_-;_-* &quot;-&quot;??_-;_-@"/>
  </numFmts>
  <fonts count="26">
    <font>
      <sz val="11.0"/>
      <color theme="1"/>
      <name val="Aptos Narrow"/>
      <scheme val="minor"/>
    </font>
    <font>
      <color theme="1"/>
      <name val="Aptos Narrow"/>
    </font>
    <font>
      <color theme="1"/>
      <name val="Arial"/>
    </font>
    <font>
      <b/>
      <color rgb="FFFFFFFF"/>
      <name val="Arial"/>
    </font>
    <font>
      <sz val="11.0"/>
      <color theme="1"/>
      <name val="Aptos Narrow"/>
    </font>
    <font>
      <b/>
      <color theme="1"/>
      <name val="Arial"/>
    </font>
    <font>
      <sz val="11.0"/>
      <color rgb="FF3A7D22"/>
      <name val="Aptos Narrow"/>
    </font>
    <font>
      <sz val="14.0"/>
      <color rgb="FFFFFFFF"/>
      <name val="Aptos Narrow"/>
    </font>
    <font>
      <sz val="11.0"/>
      <color theme="1"/>
      <name val="Arial"/>
    </font>
    <font>
      <sz val="22.0"/>
      <color theme="1"/>
      <name val="Aptos Narrow"/>
    </font>
    <font>
      <sz val="18.0"/>
      <color theme="1"/>
      <name val="Aptos Narrow"/>
    </font>
    <font>
      <sz val="16.0"/>
      <color theme="0"/>
      <name val="Aptos Narrow"/>
    </font>
    <font>
      <sz val="10.0"/>
      <color theme="1"/>
      <name val="Aptos Narrow"/>
    </font>
    <font/>
    <font>
      <sz val="11.0"/>
      <color rgb="FF275317"/>
      <name val="Aptos Narrow"/>
    </font>
    <font>
      <b/>
      <sz val="12.0"/>
      <color theme="1"/>
      <name val="Aptos Narrow"/>
    </font>
    <font>
      <b/>
      <sz val="12.0"/>
      <color theme="1"/>
      <name val="Arial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rgb="FF196B24"/>
      <name val="Arial"/>
    </font>
    <font>
      <b/>
      <sz val="12.0"/>
      <color rgb="FF0F4861"/>
      <name val="Aptos Narrow"/>
    </font>
    <font>
      <b/>
      <sz val="12.0"/>
      <color rgb="FF0F4861"/>
      <name val="Arial"/>
    </font>
    <font>
      <b/>
      <sz val="12.0"/>
      <color rgb="FF275317"/>
      <name val="Aptos Narrow"/>
    </font>
    <font>
      <b/>
      <sz val="22.0"/>
      <color theme="1"/>
      <name val="Aptos Narrow"/>
    </font>
    <font>
      <b/>
      <sz val="12.0"/>
      <color rgb="FFC00000"/>
      <name val="Aptos Narrow"/>
    </font>
    <font>
      <sz val="11.0"/>
      <color rgb="FFED3F3F"/>
      <name val="Aptos Narrow"/>
    </font>
  </fonts>
  <fills count="19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EFDD2"/>
        <bgColor rgb="FFFEFDD2"/>
      </patternFill>
    </fill>
    <fill>
      <patternFill patternType="solid">
        <fgColor rgb="FF3A7D22"/>
        <bgColor rgb="FF3A7D22"/>
      </patternFill>
    </fill>
    <fill>
      <patternFill patternType="solid">
        <fgColor rgb="FFC00000"/>
        <bgColor rgb="FFC00000"/>
      </patternFill>
    </fill>
    <fill>
      <patternFill patternType="solid">
        <fgColor rgb="FFEFF7F1"/>
        <bgColor rgb="FFEFF7F1"/>
      </patternFill>
    </fill>
    <fill>
      <patternFill patternType="solid">
        <fgColor rgb="FFF4DCDC"/>
        <bgColor rgb="FFF4DCDC"/>
      </patternFill>
    </fill>
    <fill>
      <patternFill patternType="solid">
        <fgColor rgb="FFCAEDFB"/>
        <bgColor rgb="FFCAEDFB"/>
      </patternFill>
    </fill>
    <fill>
      <patternFill patternType="solid">
        <fgColor rgb="FFD9F2D0"/>
        <bgColor rgb="FFD9F2D0"/>
      </patternFill>
    </fill>
    <fill>
      <patternFill patternType="solid">
        <fgColor rgb="FFFFCCCC"/>
        <bgColor rgb="FFFFCCCC"/>
      </patternFill>
    </fill>
    <fill>
      <patternFill patternType="solid">
        <fgColor rgb="FFD8D8D8"/>
        <bgColor rgb="FFD8D8D8"/>
      </patternFill>
    </fill>
  </fills>
  <borders count="19">
    <border/>
    <border>
      <left style="dotted">
        <color rgb="FFB3E5A1"/>
      </left>
      <right style="dotted">
        <color rgb="FFB3E5A1"/>
      </right>
      <top style="dotted">
        <color rgb="FFB3E5A1"/>
      </top>
      <bottom style="dotted">
        <color rgb="FFB3E5A1"/>
      </bottom>
    </border>
    <border>
      <left style="dotted">
        <color rgb="FF45B0E1"/>
      </left>
      <right style="dotted">
        <color rgb="FF45B0E1"/>
      </righ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left style="dotted">
        <color rgb="FF45B0E1"/>
      </left>
    </border>
    <border>
      <left style="dotted">
        <color rgb="FFAEAEAE"/>
      </left>
      <top style="dotted">
        <color rgb="FFAEAEAE"/>
      </top>
    </border>
    <border>
      <top style="dotted">
        <color rgb="FFAEAEAE"/>
      </top>
    </border>
    <border>
      <right style="dotted">
        <color rgb="FFAEAEAE"/>
      </right>
      <top style="dotted">
        <color rgb="FFAEAEAE"/>
      </top>
    </border>
    <border>
      <left style="dotted">
        <color rgb="FFAEAEAE"/>
      </left>
    </border>
    <border>
      <right style="dotted">
        <color rgb="FFAEAEAE"/>
      </right>
    </border>
    <border>
      <left style="dotted">
        <color rgb="FFAEAEAE"/>
      </left>
      <bottom style="dotted">
        <color rgb="FFAEAEAE"/>
      </bottom>
    </border>
    <border>
      <bottom style="dotted">
        <color rgb="FFAEAEAE"/>
      </bottom>
    </border>
    <border>
      <right style="dotted">
        <color rgb="FFAEAEAE"/>
      </right>
      <bottom style="dotted">
        <color rgb="FFAEAEAE"/>
      </bottom>
    </border>
    <border>
      <left style="dotted">
        <color rgb="FFFF7C80"/>
      </left>
      <right style="dotted">
        <color rgb="FFFF7C80"/>
      </right>
      <top style="dotted">
        <color rgb="FFFF7C80"/>
      </top>
      <bottom style="dotted">
        <color rgb="FFFF7C80"/>
      </bottom>
    </border>
    <border>
      <left style="dotted">
        <color rgb="FFFF7C80"/>
      </left>
      <right style="dotted">
        <color rgb="FFFF7C80"/>
      </right>
      <top style="dotted">
        <color rgb="FFFF7C80"/>
      </top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3" xfId="0" applyFont="1" applyNumberFormat="1"/>
    <xf borderId="0" fillId="2" fontId="3" numFmtId="0" xfId="0" applyFill="1" applyFont="1"/>
    <xf borderId="0" fillId="0" fontId="1" numFmtId="0" xfId="0" applyAlignment="1" applyFont="1">
      <alignment horizontal="left" readingOrder="0" shrinkToFit="0" vertical="center" wrapText="0"/>
    </xf>
    <xf borderId="0" fillId="3" fontId="2" numFmtId="0" xfId="0" applyFill="1" applyFont="1"/>
    <xf borderId="0" fillId="4" fontId="2" numFmtId="0" xfId="0" applyFill="1" applyFont="1"/>
    <xf borderId="0" fillId="5" fontId="3" numFmtId="0" xfId="0" applyFill="1" applyFont="1"/>
    <xf borderId="0" fillId="6" fontId="3" numFmtId="0" xfId="0" applyFill="1" applyFont="1"/>
    <xf borderId="0" fillId="0" fontId="1" numFmtId="0" xfId="0" applyAlignment="1" applyFont="1">
      <alignment shrinkToFit="0" vertical="center" wrapText="0"/>
    </xf>
    <xf borderId="0" fillId="7" fontId="2" numFmtId="0" xfId="0" applyFill="1" applyFont="1"/>
    <xf borderId="0" fillId="0" fontId="1" numFmtId="164" xfId="0" applyAlignment="1" applyFont="1" applyNumberFormat="1">
      <alignment shrinkToFit="0" vertical="center" wrapText="0"/>
    </xf>
    <xf borderId="0" fillId="0" fontId="2" numFmtId="0" xfId="0" applyAlignment="1" applyFont="1">
      <alignment vertical="center"/>
    </xf>
    <xf borderId="0" fillId="0" fontId="4" numFmtId="165" xfId="0" applyFont="1" applyNumberFormat="1"/>
    <xf borderId="0" fillId="0" fontId="4" numFmtId="14" xfId="0" applyFont="1" applyNumberFormat="1"/>
    <xf borderId="0" fillId="2" fontId="2" numFmtId="0" xfId="0" applyFill="1" applyFont="1"/>
    <xf borderId="0" fillId="8" fontId="2" numFmtId="0" xfId="0" applyFill="1" applyFont="1"/>
    <xf borderId="0" fillId="0" fontId="5" numFmtId="0" xfId="0" applyFont="1"/>
    <xf borderId="0" fillId="0" fontId="2" numFmtId="4" xfId="0" applyFont="1" applyNumberFormat="1"/>
    <xf borderId="0" fillId="9" fontId="2" numFmtId="0" xfId="0" applyFill="1" applyFont="1"/>
    <xf borderId="1" fillId="0" fontId="6" numFmtId="165" xfId="0" applyBorder="1" applyFont="1" applyNumberFormat="1"/>
    <xf borderId="0" fillId="0" fontId="2" numFmtId="0" xfId="0" applyAlignment="1" applyFont="1">
      <alignment readingOrder="0" shrinkToFit="0" vertical="center" wrapText="0"/>
    </xf>
    <xf borderId="0" fillId="4" fontId="5" numFmtId="0" xfId="0" applyFill="1" applyFont="1"/>
    <xf borderId="0" fillId="0" fontId="2" numFmtId="0" xfId="0" applyAlignment="1" applyFont="1">
      <alignment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8" numFmtId="14" xfId="0" applyAlignment="1" applyFont="1" applyNumberFormat="1">
      <alignment shrinkToFit="0" vertical="center" wrapText="0"/>
    </xf>
    <xf borderId="0" fillId="0" fontId="4" numFmtId="1" xfId="0" applyAlignment="1" applyFont="1" applyNumberFormat="1">
      <alignment shrinkToFit="0" vertical="center" wrapText="0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right"/>
    </xf>
    <xf borderId="2" fillId="0" fontId="8" numFmtId="0" xfId="0" applyAlignment="1" applyBorder="1" applyFont="1">
      <alignment shrinkToFit="0" vertical="center" wrapText="0"/>
    </xf>
    <xf borderId="3" fillId="10" fontId="8" numFmtId="0" xfId="0" applyBorder="1" applyFill="1" applyFont="1"/>
    <xf borderId="0" fillId="0" fontId="9" numFmtId="0" xfId="0" applyAlignment="1" applyFont="1">
      <alignment horizontal="center" vertical="center"/>
    </xf>
    <xf borderId="4" fillId="11" fontId="11" numFmtId="0" xfId="0" applyAlignment="1" applyBorder="1" applyFill="1" applyFont="1">
      <alignment horizontal="center"/>
    </xf>
    <xf borderId="4" fillId="12" fontId="11" numFmtId="0" xfId="0" applyAlignment="1" applyBorder="1" applyFill="1" applyFont="1">
      <alignment horizontal="center"/>
    </xf>
    <xf borderId="3" fillId="13" fontId="8" numFmtId="0" xfId="0" applyBorder="1" applyFill="1" applyFont="1"/>
    <xf borderId="3" fillId="14" fontId="8" numFmtId="0" xfId="0" applyBorder="1" applyFill="1" applyFont="1"/>
    <xf borderId="3" fillId="13" fontId="8" numFmtId="0" xfId="0" applyAlignment="1" applyBorder="1" applyFill="1" applyFont="1">
      <alignment vertical="bottom"/>
    </xf>
    <xf borderId="3" fillId="14" fontId="4" numFmtId="0" xfId="0" applyBorder="1" applyFill="1" applyFont="1"/>
    <xf borderId="5" fillId="13" fontId="12" numFmtId="0" xfId="0" applyAlignment="1" applyBorder="1" applyFill="1" applyFont="1">
      <alignment horizontal="center"/>
    </xf>
    <xf borderId="0" fillId="0" fontId="4" numFmtId="0" xfId="0" applyAlignment="1" applyFont="1">
      <alignment shrinkToFit="0" vertical="center" wrapText="0"/>
    </xf>
    <xf borderId="6" fillId="0" fontId="13" numFmtId="0" xfId="0" applyBorder="1" applyFont="1"/>
    <xf borderId="2" fillId="0" fontId="8" numFmtId="165" xfId="0" applyAlignment="1" applyBorder="1" applyFont="1" applyNumberFormat="1">
      <alignment shrinkToFit="0" vertical="center" wrapText="0"/>
    </xf>
    <xf borderId="7" fillId="0" fontId="14" numFmtId="165" xfId="0" applyAlignment="1" applyBorder="1" applyFont="1" applyNumberFormat="1">
      <alignment shrinkToFit="0" vertical="center" wrapText="0"/>
    </xf>
    <xf borderId="0" fillId="0" fontId="15" numFmtId="0" xfId="0" applyFont="1"/>
    <xf borderId="0" fillId="0" fontId="4" numFmtId="165" xfId="0" applyAlignment="1" applyFont="1" applyNumberFormat="1">
      <alignment shrinkToFit="0" vertical="center" wrapText="0"/>
    </xf>
    <xf borderId="4" fillId="10" fontId="16" numFmtId="0" xfId="0" applyAlignment="1" applyBorder="1" applyFill="1" applyFont="1">
      <alignment horizontal="center"/>
    </xf>
    <xf borderId="0" fillId="0" fontId="17" numFmtId="0" xfId="0" applyAlignment="1" applyFont="1">
      <alignment horizontal="left"/>
    </xf>
    <xf borderId="5" fillId="10" fontId="18" numFmtId="0" xfId="0" applyAlignment="1" applyBorder="1" applyFill="1" applyFont="1">
      <alignment horizontal="left"/>
    </xf>
    <xf borderId="5" fillId="10" fontId="18" numFmtId="165" xfId="0" applyAlignment="1" applyBorder="1" applyFill="1" applyFont="1" applyNumberFormat="1">
      <alignment horizontal="center"/>
    </xf>
    <xf borderId="5" fillId="13" fontId="4" numFmtId="0" xfId="0" applyAlignment="1" applyBorder="1" applyFill="1" applyFont="1">
      <alignment horizontal="center"/>
    </xf>
    <xf borderId="2" fillId="0" fontId="19" numFmtId="165" xfId="0" applyAlignment="1" applyBorder="1" applyFont="1" applyNumberFormat="1">
      <alignment shrinkToFit="0" vertical="center" wrapText="0"/>
    </xf>
    <xf borderId="0" fillId="0" fontId="4" numFmtId="14" xfId="0" applyAlignment="1" applyFont="1" applyNumberFormat="1">
      <alignment shrinkToFit="0" vertical="center" wrapText="0"/>
    </xf>
    <xf borderId="0" fillId="0" fontId="15" numFmtId="0" xfId="0" applyAlignment="1" applyFont="1">
      <alignment horizontal="center"/>
    </xf>
    <xf borderId="4" fillId="15" fontId="20" numFmtId="0" xfId="0" applyBorder="1" applyFill="1" applyFont="1"/>
    <xf borderId="4" fillId="15" fontId="21" numFmtId="165" xfId="0" applyAlignment="1" applyBorder="1" applyFill="1" applyFont="1" applyNumberFormat="1">
      <alignment horizontal="center"/>
    </xf>
    <xf borderId="4" fillId="15" fontId="20" numFmtId="165" xfId="0" applyAlignment="1" applyBorder="1" applyFill="1" applyFont="1" applyNumberFormat="1">
      <alignment horizontal="center"/>
    </xf>
    <xf borderId="4" fillId="16" fontId="22" numFmtId="0" xfId="0" applyBorder="1" applyFill="1" applyFont="1"/>
    <xf borderId="4" fillId="16" fontId="22" numFmtId="165" xfId="0" applyBorder="1" applyFill="1" applyFont="1" applyNumberFormat="1"/>
    <xf borderId="1" fillId="0" fontId="6" numFmtId="0" xfId="0" applyBorder="1" applyFont="1"/>
    <xf borderId="1" fillId="9" fontId="6" numFmtId="165" xfId="0" applyBorder="1" applyFill="1" applyFont="1" applyNumberFormat="1"/>
    <xf borderId="1" fillId="7" fontId="6" numFmtId="165" xfId="0" applyBorder="1" applyFill="1" applyFont="1" applyNumberFormat="1"/>
    <xf borderId="0" fillId="0" fontId="4" numFmtId="0" xfId="0" applyAlignment="1" applyFont="1">
      <alignment horizontal="center"/>
    </xf>
    <xf borderId="0" fillId="0" fontId="15" numFmtId="0" xfId="0" applyAlignment="1" applyFont="1">
      <alignment horizontal="left"/>
    </xf>
    <xf borderId="5" fillId="10" fontId="8" numFmtId="0" xfId="0" applyAlignment="1" applyBorder="1" applyFill="1" applyFont="1">
      <alignment horizontal="left"/>
    </xf>
    <xf borderId="0" fillId="0" fontId="17" numFmtId="0" xfId="0" applyFont="1"/>
    <xf borderId="8" fillId="0" fontId="23" numFmtId="165" xfId="0" applyAlignment="1" applyBorder="1" applyFont="1" applyNumberFormat="1">
      <alignment horizontal="center" vertical="center"/>
    </xf>
    <xf borderId="9" fillId="0" fontId="13" numFmtId="0" xfId="0" applyBorder="1" applyFont="1"/>
    <xf borderId="10" fillId="0" fontId="13" numFmtId="0" xfId="0" applyBorder="1" applyFont="1"/>
    <xf borderId="11" fillId="0" fontId="13" numFmtId="0" xfId="0" applyBorder="1" applyFont="1"/>
    <xf borderId="12" fillId="0" fontId="13" numFmtId="0" xfId="0" applyBorder="1" applyFont="1"/>
    <xf borderId="13" fillId="0" fontId="13" numFmtId="0" xfId="0" applyBorder="1" applyFont="1"/>
    <xf borderId="14" fillId="0" fontId="13" numFmtId="0" xfId="0" applyBorder="1" applyFont="1"/>
    <xf borderId="15" fillId="0" fontId="13" numFmtId="0" xfId="0" applyBorder="1" applyFont="1"/>
    <xf borderId="1" fillId="4" fontId="6" numFmtId="165" xfId="0" applyBorder="1" applyFill="1" applyFont="1" applyNumberFormat="1"/>
    <xf borderId="1" fillId="6" fontId="6" numFmtId="165" xfId="0" applyBorder="1" applyFill="1" applyFont="1" applyNumberFormat="1"/>
    <xf borderId="4" fillId="17" fontId="24" numFmtId="0" xfId="0" applyBorder="1" applyFill="1" applyFont="1"/>
    <xf borderId="4" fillId="17" fontId="24" numFmtId="165" xfId="0" applyBorder="1" applyFill="1" applyFont="1" applyNumberFormat="1"/>
    <xf borderId="16" fillId="0" fontId="25" numFmtId="0" xfId="0" applyBorder="1" applyFont="1"/>
    <xf borderId="16" fillId="0" fontId="25" numFmtId="165" xfId="0" applyBorder="1" applyFont="1" applyNumberFormat="1"/>
    <xf borderId="17" fillId="0" fontId="25" numFmtId="0" xfId="0" applyBorder="1" applyFont="1"/>
    <xf borderId="18" fillId="18" fontId="15" numFmtId="0" xfId="0" applyBorder="1" applyFill="1" applyFont="1"/>
    <xf borderId="18" fillId="18" fontId="15" numFmtId="165" xfId="0" applyBorder="1" applyFill="1" applyFont="1" applyNumberFormat="1"/>
    <xf borderId="2" fillId="0" fontId="4" numFmtId="0" xfId="0" applyAlignment="1" applyBorder="1" applyFont="1">
      <alignment shrinkToFit="0" vertical="center" wrapText="0"/>
    </xf>
    <xf borderId="2" fillId="0" fontId="4" numFmtId="165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color rgb="FF9C0006"/>
      </font>
      <fill>
        <patternFill patternType="none"/>
      </fill>
      <border/>
    </dxf>
    <dxf>
      <font>
        <color theme="6"/>
      </font>
      <fill>
        <patternFill patternType="none"/>
      </fill>
      <border/>
    </dxf>
    <dxf>
      <font>
        <color rgb="FFC00000"/>
      </font>
      <fill>
        <patternFill patternType="solid">
          <fgColor rgb="FFFFCCCC"/>
          <bgColor rgb="FFFFCCCC"/>
        </patternFill>
      </fill>
      <border/>
    </dxf>
    <dxf>
      <font>
        <color theme="6"/>
      </font>
      <fill>
        <patternFill patternType="solid">
          <fgColor rgb="FFD9F2D0"/>
          <bgColor rgb="FFD9F2D0"/>
        </patternFill>
      </fill>
      <border/>
    </dxf>
  </dxfs>
  <tableStyles count="2">
    <tableStyle count="4" pivot="0" name="Clien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ançamentos-style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Entradas x Saídas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Entradas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'Análise'!$C$14:$N$14</c:f>
            </c:strRef>
          </c:cat>
          <c:val>
            <c:numRef>
              <c:f>'Análise'!$C$16:$N$16</c:f>
              <c:numCache/>
            </c:numRef>
          </c:val>
        </c:ser>
        <c:ser>
          <c:idx val="1"/>
          <c:order val="1"/>
          <c:tx>
            <c:v>Saídas</c:v>
          </c:tx>
          <c:spPr>
            <a:solidFill>
              <a:srgbClr val="F16B6B"/>
            </a:solidFill>
            <a:ln cmpd="sng">
              <a:noFill/>
            </a:ln>
          </c:spPr>
          <c:cat>
            <c:strRef>
              <c:f>'Análise'!$C$14:$N$14</c:f>
            </c:strRef>
          </c:cat>
          <c:val>
            <c:numRef>
              <c:f>'Análise'!$C$34:$N$34</c:f>
              <c:numCache/>
            </c:numRef>
          </c:val>
        </c:ser>
        <c:axId val="582629227"/>
        <c:axId val="1714864704"/>
      </c:barChart>
      <c:catAx>
        <c:axId val="5826292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1714864704"/>
      </c:catAx>
      <c:valAx>
        <c:axId val="1714864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8262922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Saldo Operacional Mensal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'Análise'!$C$14:$N$14</c:f>
            </c:strRef>
          </c:cat>
          <c:val>
            <c:numRef>
              <c:f>'Análise'!$C$52:$N$52</c:f>
              <c:numCache/>
            </c:numRef>
          </c:val>
          <c:smooth val="0"/>
        </c:ser>
        <c:axId val="633433708"/>
        <c:axId val="1528885925"/>
      </c:lineChart>
      <c:catAx>
        <c:axId val="6334337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528885925"/>
      </c:catAx>
      <c:valAx>
        <c:axId val="15288859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33433708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Saldo Acumulado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7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'Análise'!$C$14:$N$14</c:f>
            </c:strRef>
          </c:cat>
          <c:val>
            <c:numRef>
              <c:f>'Análise'!$C$53:$N$53</c:f>
              <c:numCache/>
            </c:numRef>
          </c:val>
          <c:smooth val="0"/>
        </c:ser>
        <c:axId val="1804532668"/>
        <c:axId val="997473666"/>
      </c:lineChart>
      <c:catAx>
        <c:axId val="18045326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997473666"/>
      </c:catAx>
      <c:valAx>
        <c:axId val="9974736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04532668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Entradas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dPt>
            <c:idx val="8"/>
            <c:spPr>
              <a:solidFill>
                <a:schemeClr val="accent3"/>
              </a:solidFill>
            </c:spPr>
          </c:dPt>
          <c:dPt>
            <c:idx val="9"/>
            <c:spPr>
              <a:solidFill>
                <a:schemeClr val="accent4"/>
              </a:solidFill>
            </c:spPr>
          </c:dPt>
          <c:dPt>
            <c:idx val="10"/>
            <c:spPr>
              <a:solidFill>
                <a:schemeClr val="accent5"/>
              </a:solidFill>
            </c:spPr>
          </c:dPt>
          <c:dPt>
            <c:idx val="11"/>
            <c:spPr>
              <a:solidFill>
                <a:schemeClr val="accent6"/>
              </a:solidFill>
            </c:spPr>
          </c:dPt>
          <c:dPt>
            <c:idx val="12"/>
            <c:spPr>
              <a:solidFill>
                <a:schemeClr val="accent1"/>
              </a:solidFill>
            </c:spPr>
          </c:dPt>
          <c:dPt>
            <c:idx val="13"/>
            <c:spPr>
              <a:solidFill>
                <a:schemeClr val="accent2"/>
              </a:solidFill>
            </c:spPr>
          </c:dPt>
          <c:dPt>
            <c:idx val="14"/>
            <c:spPr>
              <a:solidFill>
                <a:schemeClr val="accent3"/>
              </a:solidFill>
            </c:spPr>
          </c:dPt>
          <c:dPt>
            <c:idx val="15"/>
            <c:spPr>
              <a:solidFill>
                <a:schemeClr val="accent4"/>
              </a:solidFill>
            </c:spPr>
          </c:dPt>
          <c:dPt>
            <c:idx val="16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Planilha1!$B$2:$B$18</c:f>
            </c:strRef>
          </c:cat>
          <c:val>
            <c:numRef>
              <c:f>Planilha1!$D$2:$D$18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Saídas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dPt>
            <c:idx val="8"/>
            <c:spPr>
              <a:solidFill>
                <a:schemeClr val="accent3"/>
              </a:solidFill>
            </c:spPr>
          </c:dPt>
          <c:dPt>
            <c:idx val="9"/>
            <c:spPr>
              <a:solidFill>
                <a:schemeClr val="accent4"/>
              </a:solidFill>
            </c:spPr>
          </c:dPt>
          <c:dPt>
            <c:idx val="10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Planilha1!$B$19:$B$35</c:f>
            </c:strRef>
          </c:cat>
          <c:val>
            <c:numRef>
              <c:f>Planilha1!$D$8:$D$18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Evolução Mensal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Planilha1!$P$2:$AA$2</c:f>
            </c:strRef>
          </c:cat>
          <c:val>
            <c:numRef>
              <c:f>Planilha1!$P$3:$AA$3</c:f>
              <c:numCache/>
            </c:numRef>
          </c:val>
        </c:ser>
        <c:axId val="1864278283"/>
        <c:axId val="622918141"/>
      </c:barChart>
      <c:catAx>
        <c:axId val="18642782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22918141"/>
      </c:catAx>
      <c:valAx>
        <c:axId val="6229181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64278283"/>
      </c:valAx>
    </c:plotArea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638175</xdr:colOff>
      <xdr:row>0</xdr:row>
      <xdr:rowOff>200025</xdr:rowOff>
    </xdr:from>
    <xdr:ext cx="7248525" cy="647700"/>
    <xdr:sp>
      <xdr:nvSpPr>
        <xdr:cNvPr id="3" name="Shape 3"/>
        <xdr:cNvSpPr txBox="1"/>
      </xdr:nvSpPr>
      <xdr:spPr>
        <a:xfrm>
          <a:off x="1726500" y="3460913"/>
          <a:ext cx="7239000" cy="6381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71BA"/>
            </a:buClr>
            <a:buSzPts val="1800"/>
            <a:buFont typeface="Arial"/>
            <a:buNone/>
          </a:pPr>
          <a:r>
            <a:rPr lang="en-US" sz="1800">
              <a:solidFill>
                <a:srgbClr val="0071BA"/>
              </a:solidFill>
              <a:latin typeface="Arial"/>
              <a:ea typeface="Arial"/>
              <a:cs typeface="Arial"/>
              <a:sym typeface="Arial"/>
            </a:rPr>
            <a:t>LANÇAMENTOS</a:t>
          </a:r>
          <a:endParaRPr sz="1400"/>
        </a:p>
      </xdr:txBody>
    </xdr:sp>
    <xdr:clientData fLocksWithSheet="0"/>
  </xdr:oneCellAnchor>
  <xdr:oneCellAnchor>
    <xdr:from>
      <xdr:col>5</xdr:col>
      <xdr:colOff>1190625</xdr:colOff>
      <xdr:row>0</xdr:row>
      <xdr:rowOff>257175</xdr:rowOff>
    </xdr:from>
    <xdr:ext cx="2476500" cy="447675"/>
    <xdr:grpSp>
      <xdr:nvGrpSpPr>
        <xdr:cNvPr id="2" name="Shape 2"/>
        <xdr:cNvGrpSpPr/>
      </xdr:nvGrpSpPr>
      <xdr:grpSpPr>
        <a:xfrm>
          <a:off x="4107750" y="3556163"/>
          <a:ext cx="2476500" cy="447675"/>
          <a:chOff x="4107750" y="3556163"/>
          <a:chExt cx="2476500" cy="447675"/>
        </a:xfrm>
      </xdr:grpSpPr>
      <xdr:grpSp>
        <xdr:nvGrpSpPr>
          <xdr:cNvPr id="4" name="Shape 4"/>
          <xdr:cNvGrpSpPr/>
        </xdr:nvGrpSpPr>
        <xdr:grpSpPr>
          <a:xfrm>
            <a:off x="4107750" y="3556163"/>
            <a:ext cx="2476500" cy="447675"/>
            <a:chOff x="4107750" y="3556163"/>
            <a:chExt cx="2476500" cy="447675"/>
          </a:xfrm>
        </xdr:grpSpPr>
        <xdr:sp>
          <xdr:nvSpPr>
            <xdr:cNvPr id="5" name="Shape 5"/>
            <xdr:cNvSpPr/>
          </xdr:nvSpPr>
          <xdr:spPr>
            <a:xfrm>
              <a:off x="4107750" y="3556163"/>
              <a:ext cx="2476500" cy="447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4107750" y="3556163"/>
              <a:ext cx="2476500" cy="447675"/>
              <a:chOff x="7343775" y="142875"/>
              <a:chExt cx="1257299" cy="514350"/>
            </a:xfrm>
          </xdr:grpSpPr>
          <xdr:sp>
            <xdr:nvSpPr>
              <xdr:cNvPr id="7" name="Shape 7"/>
              <xdr:cNvSpPr/>
            </xdr:nvSpPr>
            <xdr:spPr>
              <a:xfrm>
                <a:off x="7343775" y="142875"/>
                <a:ext cx="1257275" cy="5143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8" name="Shape 8"/>
              <xdr:cNvSpPr/>
            </xdr:nvSpPr>
            <xdr:spPr>
              <a:xfrm>
                <a:off x="7343775" y="142875"/>
                <a:ext cx="514350" cy="247650"/>
              </a:xfrm>
              <a:prstGeom prst="parallelogram">
                <a:avLst>
                  <a:gd fmla="val 25000" name="adj"/>
                </a:avLst>
              </a:prstGeom>
              <a:solidFill>
                <a:srgbClr val="00B0F0"/>
              </a:solidFill>
              <a:ln>
                <a:noFill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7715249" y="390525"/>
                <a:ext cx="885825" cy="266700"/>
              </a:xfrm>
              <a:prstGeom prst="parallelogram">
                <a:avLst>
                  <a:gd fmla="val 25000" name="adj"/>
                </a:avLst>
              </a:prstGeom>
              <a:solidFill>
                <a:srgbClr val="0071BA"/>
              </a:solidFill>
              <a:ln>
                <a:noFill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0</xdr:col>
      <xdr:colOff>171450</xdr:colOff>
      <xdr:row>0</xdr:row>
      <xdr:rowOff>228600</xdr:rowOff>
    </xdr:from>
    <xdr:ext cx="1076325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0</xdr:row>
      <xdr:rowOff>142875</xdr:rowOff>
    </xdr:from>
    <xdr:ext cx="6543675" cy="514350"/>
    <xdr:sp>
      <xdr:nvSpPr>
        <xdr:cNvPr id="10" name="Shape 10"/>
        <xdr:cNvSpPr txBox="1"/>
      </xdr:nvSpPr>
      <xdr:spPr>
        <a:xfrm>
          <a:off x="2078925" y="3527588"/>
          <a:ext cx="6534150" cy="5048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71BA"/>
            </a:buClr>
            <a:buSzPts val="1800"/>
            <a:buFont typeface="Arial"/>
            <a:buNone/>
          </a:pPr>
          <a:r>
            <a:rPr lang="en-US" sz="1800">
              <a:solidFill>
                <a:srgbClr val="0071BA"/>
              </a:solidFill>
              <a:latin typeface="Arial"/>
              <a:ea typeface="Arial"/>
              <a:cs typeface="Arial"/>
              <a:sym typeface="Arial"/>
            </a:rPr>
            <a:t>CADASTROS</a:t>
          </a:r>
          <a:endParaRPr sz="1400"/>
        </a:p>
      </xdr:txBody>
    </xdr:sp>
    <xdr:clientData fLocksWithSheet="0"/>
  </xdr:oneCellAnchor>
  <xdr:oneCellAnchor>
    <xdr:from>
      <xdr:col>4</xdr:col>
      <xdr:colOff>76200</xdr:colOff>
      <xdr:row>1</xdr:row>
      <xdr:rowOff>47625</xdr:rowOff>
    </xdr:from>
    <xdr:ext cx="1095375" cy="276225"/>
    <xdr:grpSp>
      <xdr:nvGrpSpPr>
        <xdr:cNvPr id="2" name="Shape 2"/>
        <xdr:cNvGrpSpPr/>
      </xdr:nvGrpSpPr>
      <xdr:grpSpPr>
        <a:xfrm>
          <a:off x="4798313" y="3641888"/>
          <a:ext cx="1095375" cy="276225"/>
          <a:chOff x="4798313" y="3641888"/>
          <a:chExt cx="1095375" cy="276225"/>
        </a:xfrm>
      </xdr:grpSpPr>
      <xdr:grpSp>
        <xdr:nvGrpSpPr>
          <xdr:cNvPr id="11" name="Shape 11"/>
          <xdr:cNvGrpSpPr/>
        </xdr:nvGrpSpPr>
        <xdr:grpSpPr>
          <a:xfrm>
            <a:off x="4798313" y="3641888"/>
            <a:ext cx="1095375" cy="276225"/>
            <a:chOff x="4798313" y="3641888"/>
            <a:chExt cx="1095375" cy="276225"/>
          </a:xfrm>
        </xdr:grpSpPr>
        <xdr:sp>
          <xdr:nvSpPr>
            <xdr:cNvPr id="5" name="Shape 5"/>
            <xdr:cNvSpPr/>
          </xdr:nvSpPr>
          <xdr:spPr>
            <a:xfrm>
              <a:off x="4798313" y="3641888"/>
              <a:ext cx="1095375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2" name="Shape 12"/>
            <xdr:cNvGrpSpPr/>
          </xdr:nvGrpSpPr>
          <xdr:grpSpPr>
            <a:xfrm>
              <a:off x="4798313" y="3641888"/>
              <a:ext cx="1095375" cy="276225"/>
              <a:chOff x="7343775" y="142875"/>
              <a:chExt cx="1257299" cy="514350"/>
            </a:xfrm>
          </xdr:grpSpPr>
          <xdr:sp>
            <xdr:nvSpPr>
              <xdr:cNvPr id="13" name="Shape 13"/>
              <xdr:cNvSpPr/>
            </xdr:nvSpPr>
            <xdr:spPr>
              <a:xfrm>
                <a:off x="7343775" y="142875"/>
                <a:ext cx="1257275" cy="5143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4" name="Shape 14"/>
              <xdr:cNvSpPr/>
            </xdr:nvSpPr>
            <xdr:spPr>
              <a:xfrm>
                <a:off x="7343775" y="142875"/>
                <a:ext cx="514350" cy="247650"/>
              </a:xfrm>
              <a:prstGeom prst="parallelogram">
                <a:avLst>
                  <a:gd fmla="val 25000" name="adj"/>
                </a:avLst>
              </a:prstGeom>
              <a:solidFill>
                <a:srgbClr val="00B0F0"/>
              </a:solidFill>
              <a:ln>
                <a:noFill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5" name="Shape 15"/>
              <xdr:cNvSpPr/>
            </xdr:nvSpPr>
            <xdr:spPr>
              <a:xfrm>
                <a:off x="7715249" y="390525"/>
                <a:ext cx="885825" cy="266700"/>
              </a:xfrm>
              <a:prstGeom prst="parallelogram">
                <a:avLst>
                  <a:gd fmla="val 25000" name="adj"/>
                </a:avLst>
              </a:prstGeom>
              <a:solidFill>
                <a:srgbClr val="0071BA"/>
              </a:solidFill>
              <a:ln>
                <a:noFill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0</xdr:col>
      <xdr:colOff>0</xdr:colOff>
      <xdr:row>1</xdr:row>
      <xdr:rowOff>0</xdr:rowOff>
    </xdr:from>
    <xdr:ext cx="1104900" cy="504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1162050</xdr:colOff>
      <xdr:row>0</xdr:row>
      <xdr:rowOff>66675</xdr:rowOff>
    </xdr:from>
    <xdr:ext cx="5267325" cy="685800"/>
    <xdr:sp>
      <xdr:nvSpPr>
        <xdr:cNvPr id="16" name="Shape 16"/>
        <xdr:cNvSpPr txBox="1"/>
      </xdr:nvSpPr>
      <xdr:spPr>
        <a:xfrm>
          <a:off x="2717100" y="3441863"/>
          <a:ext cx="5257800" cy="6762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71BA"/>
            </a:buClr>
            <a:buSzPts val="1800"/>
            <a:buFont typeface="Arial"/>
            <a:buNone/>
          </a:pPr>
          <a:r>
            <a:rPr lang="en-US" sz="1800">
              <a:solidFill>
                <a:srgbClr val="0071BA"/>
              </a:solidFill>
              <a:latin typeface="Arial"/>
              <a:ea typeface="Arial"/>
              <a:cs typeface="Arial"/>
              <a:sym typeface="Arial"/>
            </a:rPr>
            <a:t>ANÁLISE DE CAIXA</a:t>
          </a:r>
          <a:endParaRPr sz="1800">
            <a:solidFill>
              <a:srgbClr val="0071BA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733425</xdr:colOff>
      <xdr:row>0</xdr:row>
      <xdr:rowOff>152400</xdr:rowOff>
    </xdr:from>
    <xdr:ext cx="1181100" cy="504825"/>
    <xdr:grpSp>
      <xdr:nvGrpSpPr>
        <xdr:cNvPr id="2" name="Shape 2"/>
        <xdr:cNvGrpSpPr/>
      </xdr:nvGrpSpPr>
      <xdr:grpSpPr>
        <a:xfrm>
          <a:off x="4755450" y="3527588"/>
          <a:ext cx="1181100" cy="504825"/>
          <a:chOff x="4755450" y="3527588"/>
          <a:chExt cx="1181100" cy="504825"/>
        </a:xfrm>
      </xdr:grpSpPr>
      <xdr:grpSp>
        <xdr:nvGrpSpPr>
          <xdr:cNvPr id="17" name="Shape 17"/>
          <xdr:cNvGrpSpPr/>
        </xdr:nvGrpSpPr>
        <xdr:grpSpPr>
          <a:xfrm>
            <a:off x="4755450" y="3527588"/>
            <a:ext cx="1181100" cy="504825"/>
            <a:chOff x="4755450" y="3527588"/>
            <a:chExt cx="1181100" cy="504825"/>
          </a:xfrm>
        </xdr:grpSpPr>
        <xdr:sp>
          <xdr:nvSpPr>
            <xdr:cNvPr id="5" name="Shape 5"/>
            <xdr:cNvSpPr/>
          </xdr:nvSpPr>
          <xdr:spPr>
            <a:xfrm>
              <a:off x="4755450" y="3527588"/>
              <a:ext cx="1181100" cy="5048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8" name="Shape 18"/>
            <xdr:cNvGrpSpPr/>
          </xdr:nvGrpSpPr>
          <xdr:grpSpPr>
            <a:xfrm>
              <a:off x="4755450" y="3527588"/>
              <a:ext cx="1181100" cy="504825"/>
              <a:chOff x="7343775" y="142875"/>
              <a:chExt cx="1257299" cy="514350"/>
            </a:xfrm>
          </xdr:grpSpPr>
          <xdr:sp>
            <xdr:nvSpPr>
              <xdr:cNvPr id="19" name="Shape 19"/>
              <xdr:cNvSpPr/>
            </xdr:nvSpPr>
            <xdr:spPr>
              <a:xfrm>
                <a:off x="7343775" y="142875"/>
                <a:ext cx="1257275" cy="5143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0" name="Shape 20"/>
              <xdr:cNvSpPr/>
            </xdr:nvSpPr>
            <xdr:spPr>
              <a:xfrm>
                <a:off x="7343775" y="142875"/>
                <a:ext cx="514350" cy="247650"/>
              </a:xfrm>
              <a:prstGeom prst="parallelogram">
                <a:avLst>
                  <a:gd fmla="val 25000" name="adj"/>
                </a:avLst>
              </a:prstGeom>
              <a:solidFill>
                <a:srgbClr val="00B0F0"/>
              </a:solidFill>
              <a:ln>
                <a:noFill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1" name="Shape 21"/>
              <xdr:cNvSpPr/>
            </xdr:nvSpPr>
            <xdr:spPr>
              <a:xfrm>
                <a:off x="7715249" y="390525"/>
                <a:ext cx="885825" cy="266700"/>
              </a:xfrm>
              <a:prstGeom prst="parallelogram">
                <a:avLst>
                  <a:gd fmla="val 25000" name="adj"/>
                </a:avLst>
              </a:prstGeom>
              <a:solidFill>
                <a:srgbClr val="0071BA"/>
              </a:solidFill>
              <a:ln>
                <a:noFill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</xdr:col>
      <xdr:colOff>38100</xdr:colOff>
      <xdr:row>0</xdr:row>
      <xdr:rowOff>95250</xdr:rowOff>
    </xdr:from>
    <xdr:ext cx="1000125" cy="733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381000</xdr:colOff>
      <xdr:row>7</xdr:row>
      <xdr:rowOff>85725</xdr:rowOff>
    </xdr:from>
    <xdr:ext cx="7591425" cy="3295650"/>
    <xdr:graphicFrame>
      <xdr:nvGraphicFramePr>
        <xdr:cNvPr id="195004786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371475</xdr:colOff>
      <xdr:row>6</xdr:row>
      <xdr:rowOff>76200</xdr:rowOff>
    </xdr:from>
    <xdr:ext cx="6772275" cy="3257550"/>
    <xdr:graphicFrame>
      <xdr:nvGraphicFramePr>
        <xdr:cNvPr id="79535425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361950</xdr:colOff>
      <xdr:row>24</xdr:row>
      <xdr:rowOff>85725</xdr:rowOff>
    </xdr:from>
    <xdr:ext cx="6791325" cy="3162300"/>
    <xdr:graphicFrame>
      <xdr:nvGraphicFramePr>
        <xdr:cNvPr id="184787788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371475</xdr:colOff>
      <xdr:row>24</xdr:row>
      <xdr:rowOff>76200</xdr:rowOff>
    </xdr:from>
    <xdr:ext cx="3829050" cy="3152775"/>
    <xdr:graphicFrame>
      <xdr:nvGraphicFramePr>
        <xdr:cNvPr id="1322359509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266700</xdr:colOff>
      <xdr:row>24</xdr:row>
      <xdr:rowOff>76200</xdr:rowOff>
    </xdr:from>
    <xdr:ext cx="3619500" cy="3143250"/>
    <xdr:graphicFrame>
      <xdr:nvGraphicFramePr>
        <xdr:cNvPr id="792581403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228600</xdr:colOff>
      <xdr:row>45</xdr:row>
      <xdr:rowOff>57150</xdr:rowOff>
    </xdr:from>
    <xdr:ext cx="8639175" cy="3248025"/>
    <xdr:graphicFrame>
      <xdr:nvGraphicFramePr>
        <xdr:cNvPr id="1146328408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9</xdr:col>
      <xdr:colOff>38100</xdr:colOff>
      <xdr:row>0</xdr:row>
      <xdr:rowOff>114300</xdr:rowOff>
    </xdr:from>
    <xdr:ext cx="5067300" cy="714375"/>
    <xdr:sp>
      <xdr:nvSpPr>
        <xdr:cNvPr id="22" name="Shape 22"/>
        <xdr:cNvSpPr txBox="1"/>
      </xdr:nvSpPr>
      <xdr:spPr>
        <a:xfrm>
          <a:off x="2817113" y="3427575"/>
          <a:ext cx="5057775" cy="7048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71BA"/>
            </a:buClr>
            <a:buSzPts val="1800"/>
            <a:buFont typeface="Arial"/>
            <a:buNone/>
          </a:pPr>
          <a:r>
            <a:rPr lang="en-US" sz="1800">
              <a:solidFill>
                <a:srgbClr val="0071BA"/>
              </a:solidFill>
              <a:latin typeface="Arial"/>
              <a:ea typeface="Arial"/>
              <a:cs typeface="Arial"/>
              <a:sym typeface="Arial"/>
            </a:rPr>
            <a:t>RELATÓRIOS GRÁFICOS</a:t>
          </a:r>
          <a:endParaRPr sz="1800">
            <a:solidFill>
              <a:srgbClr val="0071BA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17</xdr:col>
      <xdr:colOff>28575</xdr:colOff>
      <xdr:row>0</xdr:row>
      <xdr:rowOff>171450</xdr:rowOff>
    </xdr:from>
    <xdr:ext cx="1095375" cy="504825"/>
    <xdr:grpSp>
      <xdr:nvGrpSpPr>
        <xdr:cNvPr id="2" name="Shape 2"/>
        <xdr:cNvGrpSpPr/>
      </xdr:nvGrpSpPr>
      <xdr:grpSpPr>
        <a:xfrm>
          <a:off x="4798313" y="3527588"/>
          <a:ext cx="1095375" cy="504825"/>
          <a:chOff x="4798313" y="3527588"/>
          <a:chExt cx="1095375" cy="504825"/>
        </a:xfrm>
      </xdr:grpSpPr>
      <xdr:grpSp>
        <xdr:nvGrpSpPr>
          <xdr:cNvPr id="23" name="Shape 23"/>
          <xdr:cNvGrpSpPr/>
        </xdr:nvGrpSpPr>
        <xdr:grpSpPr>
          <a:xfrm>
            <a:off x="4798313" y="3527588"/>
            <a:ext cx="1095375" cy="504825"/>
            <a:chOff x="4798313" y="3527588"/>
            <a:chExt cx="1095375" cy="504825"/>
          </a:xfrm>
        </xdr:grpSpPr>
        <xdr:sp>
          <xdr:nvSpPr>
            <xdr:cNvPr id="5" name="Shape 5"/>
            <xdr:cNvSpPr/>
          </xdr:nvSpPr>
          <xdr:spPr>
            <a:xfrm>
              <a:off x="4798313" y="3527588"/>
              <a:ext cx="1095375" cy="5048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4" name="Shape 24"/>
            <xdr:cNvGrpSpPr/>
          </xdr:nvGrpSpPr>
          <xdr:grpSpPr>
            <a:xfrm>
              <a:off x="4798313" y="3527588"/>
              <a:ext cx="1095375" cy="504825"/>
              <a:chOff x="7343775" y="142875"/>
              <a:chExt cx="1257299" cy="514350"/>
            </a:xfrm>
          </xdr:grpSpPr>
          <xdr:sp>
            <xdr:nvSpPr>
              <xdr:cNvPr id="25" name="Shape 25"/>
              <xdr:cNvSpPr/>
            </xdr:nvSpPr>
            <xdr:spPr>
              <a:xfrm>
                <a:off x="7343775" y="142875"/>
                <a:ext cx="1257275" cy="5143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6" name="Shape 26"/>
              <xdr:cNvSpPr/>
            </xdr:nvSpPr>
            <xdr:spPr>
              <a:xfrm>
                <a:off x="7343775" y="142875"/>
                <a:ext cx="514350" cy="247650"/>
              </a:xfrm>
              <a:prstGeom prst="parallelogram">
                <a:avLst>
                  <a:gd fmla="val 25000" name="adj"/>
                </a:avLst>
              </a:prstGeom>
              <a:solidFill>
                <a:srgbClr val="00B0F0"/>
              </a:solidFill>
              <a:ln>
                <a:noFill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7" name="Shape 27"/>
              <xdr:cNvSpPr/>
            </xdr:nvSpPr>
            <xdr:spPr>
              <a:xfrm>
                <a:off x="7715249" y="390525"/>
                <a:ext cx="885825" cy="266700"/>
              </a:xfrm>
              <a:prstGeom prst="parallelogram">
                <a:avLst>
                  <a:gd fmla="val 25000" name="adj"/>
                </a:avLst>
              </a:prstGeom>
              <a:solidFill>
                <a:srgbClr val="0071BA"/>
              </a:solidFill>
              <a:ln>
                <a:noFill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7</xdr:col>
      <xdr:colOff>0</xdr:colOff>
      <xdr:row>0</xdr:row>
      <xdr:rowOff>133350</xdr:rowOff>
    </xdr:from>
    <xdr:ext cx="1066800" cy="73342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F12" displayName="Tabela_1" name="Tabela_1" id="1">
  <tableColumns count="6">
    <tableColumn name="CLIENTES" id="1"/>
    <tableColumn name="VALOR CONTRATO" id="2"/>
    <tableColumn name="DATA VIGENCIA" id="3"/>
    <tableColumn name="STATUS" id="4"/>
    <tableColumn name="TIPO SERVIÇO" id="5"/>
    <tableColumn name="CONTATO RESPONSÁVEL" id="6"/>
  </tableColumns>
  <tableStyleInfo name="Clientes-style" showColumnStripes="0" showFirstColumn="1" showLastColumn="1" showRowStripes="1"/>
</table>
</file>

<file path=xl/tables/table2.xml><?xml version="1.0" encoding="utf-8"?>
<table xmlns="http://schemas.openxmlformats.org/spreadsheetml/2006/main" ref="B4:H538" displayName="Table_1" name="Table_1" id="2">
  <tableColumns count="7">
    <tableColumn name="Data" id="1"/>
    <tableColumn name="Id" id="2"/>
    <tableColumn name="Plano de Conta" id="3"/>
    <tableColumn name="Coluna1" id="4"/>
    <tableColumn name="Valor" id="5"/>
    <tableColumn name="Pago" id="6"/>
    <tableColumn name="Valor_analise" id="7"/>
  </tableColumns>
  <tableStyleInfo name="Lançam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25.75"/>
    <col customWidth="1" min="3" max="3" width="8.88"/>
    <col customWidth="1" min="4" max="4" width="21.25"/>
    <col customWidth="1" min="5" max="5" width="8.88"/>
    <col customWidth="1" min="6" max="6" width="10.0"/>
    <col customWidth="1" min="7" max="11" width="8.88"/>
    <col customWidth="1" min="12" max="12" width="15.38"/>
    <col customWidth="1" min="13" max="14" width="8.88"/>
    <col customWidth="1" min="15" max="15" width="15.13"/>
    <col customWidth="1" min="16" max="27" width="8.88"/>
  </cols>
  <sheetData>
    <row r="1">
      <c r="P1" s="1">
        <f>'Análise'!C13</f>
        <v>202601</v>
      </c>
      <c r="Q1" s="1">
        <f>'Análise'!D13</f>
        <v>202602</v>
      </c>
      <c r="R1" s="1">
        <f>'Análise'!E13</f>
        <v>202603</v>
      </c>
      <c r="S1" s="1">
        <f>'Análise'!F13</f>
        <v>202604</v>
      </c>
      <c r="T1" s="1">
        <f>'Análise'!G13</f>
        <v>202605</v>
      </c>
      <c r="U1" s="1">
        <f>'Análise'!H13</f>
        <v>202606</v>
      </c>
      <c r="V1" s="1">
        <f>'Análise'!I13</f>
        <v>202607</v>
      </c>
      <c r="W1" s="1">
        <f>'Análise'!J13</f>
        <v>202608</v>
      </c>
      <c r="X1" s="1">
        <f>'Análise'!K13</f>
        <v>202609</v>
      </c>
      <c r="Y1" s="1">
        <f>'Análise'!L13</f>
        <v>202610</v>
      </c>
      <c r="Z1" s="1">
        <f>'Análise'!M13</f>
        <v>202611</v>
      </c>
      <c r="AA1" s="1">
        <f>'Análise'!N13</f>
        <v>202612</v>
      </c>
    </row>
    <row r="2">
      <c r="B2" s="1" t="str">
        <f>Cadastros!B11</f>
        <v>Renan Guerra/Chroma</v>
      </c>
      <c r="C2" s="1" t="s">
        <v>61</v>
      </c>
      <c r="D2" s="14">
        <f>SUM('Análise'!C29:N29)</f>
        <v>0</v>
      </c>
      <c r="F2" s="15" t="s">
        <v>72</v>
      </c>
      <c r="G2" s="1">
        <v>1.0</v>
      </c>
      <c r="I2" s="1" t="s">
        <v>76</v>
      </c>
      <c r="P2" s="1" t="str">
        <f>'Análise'!C14</f>
        <v>JAN/2026</v>
      </c>
      <c r="Q2" s="1" t="str">
        <f>'Análise'!D14</f>
        <v>FEV/2026</v>
      </c>
      <c r="R2" s="1" t="str">
        <f>'Análise'!E14</f>
        <v>MAR/2026</v>
      </c>
      <c r="S2" s="1" t="str">
        <f>'Análise'!F14</f>
        <v>ABR/2026</v>
      </c>
      <c r="T2" s="1" t="str">
        <f>'Análise'!G14</f>
        <v>MAI/2026</v>
      </c>
      <c r="U2" s="1" t="str">
        <f>'Análise'!H14</f>
        <v>JUN/2026</v>
      </c>
      <c r="V2" s="1" t="str">
        <f>'Análise'!I14</f>
        <v>JUL/2026</v>
      </c>
      <c r="W2" s="1" t="str">
        <f>'Análise'!J14</f>
        <v>AGO/2026</v>
      </c>
      <c r="X2" s="1" t="str">
        <f>'Análise'!K14</f>
        <v>SET/2026</v>
      </c>
      <c r="Y2" s="1" t="str">
        <f>'Análise'!L14</f>
        <v>OUT/2026</v>
      </c>
      <c r="Z2" s="1" t="str">
        <f>'Análise'!M14</f>
        <v>NOV/2026</v>
      </c>
      <c r="AA2" s="1" t="str">
        <f>'Análise'!N14</f>
        <v>DEZ/2026</v>
      </c>
    </row>
    <row r="3">
      <c r="B3" s="1" t="str">
        <f>Cadastros!B12</f>
        <v>Amattheis</v>
      </c>
      <c r="C3" s="1" t="s">
        <v>61</v>
      </c>
      <c r="D3" s="14">
        <f>SUM('Análise'!C30:N30)</f>
        <v>350</v>
      </c>
      <c r="F3" s="1" t="s">
        <v>105</v>
      </c>
      <c r="G3" s="1">
        <v>2.0</v>
      </c>
      <c r="I3" s="1">
        <v>2023.0</v>
      </c>
      <c r="L3" s="1" t="s">
        <v>107</v>
      </c>
      <c r="O3" s="1" t="str">
        <f>'Gráficos'!E44</f>
        <v>Eucomm Racing</v>
      </c>
      <c r="P3" s="21">
        <f>SUMIFS('Lançamentos'!$H$5:$H$538,'Lançamentos'!$D$5:$D$538,$O$3,'Lançamentos'!$C$5:$C$538,P1)</f>
        <v>0</v>
      </c>
      <c r="Q3" s="21">
        <f>SUMIFS('Lançamentos'!$H$5:$H$538,'Lançamentos'!$D$5:$D$538,$O$3,'Lançamentos'!$C$5:$C$538,Q1)</f>
        <v>0</v>
      </c>
      <c r="R3" s="21">
        <f>SUMIFS('Lançamentos'!$H$5:$H$538,'Lançamentos'!$D$5:$D$538,$O$3,'Lançamentos'!$C$5:$C$538,R1)</f>
        <v>0</v>
      </c>
      <c r="S3" s="21">
        <f>SUMIFS('Lançamentos'!$H$5:$H$538,'Lançamentos'!$D$5:$D$538,$O$3,'Lançamentos'!$C$5:$C$538,S1)</f>
        <v>0</v>
      </c>
      <c r="T3" s="21">
        <f>SUMIFS('Lançamentos'!$H$5:$H$538,'Lançamentos'!$D$5:$D$538,$O$3,'Lançamentos'!$C$5:$C$538,T1)</f>
        <v>0</v>
      </c>
      <c r="U3" s="21">
        <f>SUMIFS('Lançamentos'!$H$5:$H$538,'Lançamentos'!$D$5:$D$538,$O$3,'Lançamentos'!$C$5:$C$538,U1)</f>
        <v>2500</v>
      </c>
      <c r="V3" s="21">
        <f>SUMIFS('Lançamentos'!$H$5:$H$538,'Lançamentos'!$D$5:$D$538,$O$3,'Lançamentos'!$C$5:$C$538,V1)</f>
        <v>2500</v>
      </c>
      <c r="W3" s="21">
        <f>SUMIFS('Lançamentos'!$H$5:$H$538,'Lançamentos'!$D$5:$D$538,$O$3,'Lançamentos'!$C$5:$C$538,W1)</f>
        <v>3700</v>
      </c>
      <c r="X3" s="21">
        <f>SUMIFS('Lançamentos'!$H$5:$H$538,'Lançamentos'!$D$5:$D$538,$O$3,'Lançamentos'!$C$5:$C$538,X1)</f>
        <v>2500</v>
      </c>
      <c r="Y3" s="21">
        <f>SUMIFS('Lançamentos'!$H$5:$H$538,'Lançamentos'!$D$5:$D$538,$O$3,'Lançamentos'!$C$5:$C$538,Y1)</f>
        <v>0</v>
      </c>
      <c r="Z3" s="21">
        <f>SUMIFS('Lançamentos'!$H$5:$H$538,'Lançamentos'!$D$5:$D$538,$O$3,'Lançamentos'!$C$5:$C$538,Z1)</f>
        <v>0</v>
      </c>
      <c r="AA3" s="21">
        <f>SUMIFS('Lançamentos'!$H$5:$H$538,'Lançamentos'!$D$5:$D$538,$O$3,'Lançamentos'!$C$5:$C$538,AA1)</f>
        <v>0</v>
      </c>
    </row>
    <row r="4">
      <c r="B4" s="1" t="str">
        <f>Cadastros!B13</f>
        <v>Amattheis Vogel</v>
      </c>
      <c r="C4" s="1" t="s">
        <v>61</v>
      </c>
      <c r="D4" s="14">
        <f>SUM('Análise'!C31:N31)</f>
        <v>1000</v>
      </c>
      <c r="F4" s="15" t="s">
        <v>149</v>
      </c>
      <c r="G4" s="1">
        <v>3.0</v>
      </c>
      <c r="I4" s="1">
        <v>2024.0</v>
      </c>
      <c r="L4" s="1" t="s">
        <v>150</v>
      </c>
    </row>
    <row r="5">
      <c r="B5" s="1" t="str">
        <f>Cadastros!B14</f>
        <v>Eucomm Racing</v>
      </c>
      <c r="C5" s="1" t="s">
        <v>61</v>
      </c>
      <c r="D5" s="14">
        <f>SUM('Análise'!C32:N32)</f>
        <v>148</v>
      </c>
      <c r="F5" s="1" t="s">
        <v>151</v>
      </c>
      <c r="G5" s="1">
        <v>4.0</v>
      </c>
      <c r="I5" s="1">
        <v>2025.0</v>
      </c>
      <c r="L5" s="1" t="s">
        <v>152</v>
      </c>
    </row>
    <row r="6">
      <c r="B6" s="1" t="str">
        <f>Cadastros!B15</f>
        <v>CFA</v>
      </c>
      <c r="C6" s="1" t="s">
        <v>61</v>
      </c>
      <c r="D6" s="14">
        <f>SUM('Análise'!C33:N33)</f>
        <v>5500</v>
      </c>
      <c r="F6" s="15" t="s">
        <v>153</v>
      </c>
      <c r="G6" s="1">
        <v>5.0</v>
      </c>
      <c r="I6" s="1">
        <v>2026.0</v>
      </c>
    </row>
    <row r="7">
      <c r="B7" s="1" t="str">
        <f>Cadastros!B16</f>
        <v>Kaka Magno</v>
      </c>
      <c r="C7" s="1" t="s">
        <v>61</v>
      </c>
      <c r="D7" s="14">
        <f>SUM('Análise'!C34:N34)</f>
        <v>87260.4</v>
      </c>
      <c r="F7" s="1" t="s">
        <v>154</v>
      </c>
      <c r="G7" s="1">
        <v>6.0</v>
      </c>
      <c r="I7" s="1">
        <v>2027.0</v>
      </c>
    </row>
    <row r="8">
      <c r="B8" s="1" t="str">
        <f>Cadastros!B17</f>
        <v>Cadu Campos</v>
      </c>
      <c r="C8" s="1" t="s">
        <v>61</v>
      </c>
      <c r="D8" s="14">
        <f>SUM('Análise'!C35:N35)</f>
        <v>55850</v>
      </c>
      <c r="F8" s="15" t="s">
        <v>156</v>
      </c>
      <c r="G8" s="1">
        <v>7.0</v>
      </c>
      <c r="I8" s="1">
        <v>2028.0</v>
      </c>
    </row>
    <row r="9">
      <c r="B9" s="1" t="str">
        <f>Cadastros!B18</f>
        <v>Piloto TN - Paulo Maia</v>
      </c>
      <c r="C9" s="1" t="s">
        <v>61</v>
      </c>
      <c r="D9" s="14">
        <f>SUM('Análise'!C36:N36)</f>
        <v>300.05</v>
      </c>
      <c r="F9" s="1" t="s">
        <v>157</v>
      </c>
      <c r="G9" s="1">
        <v>8.0</v>
      </c>
      <c r="I9" s="1">
        <v>2029.0</v>
      </c>
    </row>
    <row r="10">
      <c r="B10" s="1" t="str">
        <f>Cadastros!B19</f>
        <v>Equipe TN - Porthack</v>
      </c>
      <c r="C10" s="1" t="s">
        <v>61</v>
      </c>
      <c r="D10" s="14">
        <f>SUM('Análise'!C37:N37)</f>
        <v>2420</v>
      </c>
      <c r="F10" s="15" t="s">
        <v>161</v>
      </c>
      <c r="G10" s="1">
        <v>9.0</v>
      </c>
    </row>
    <row r="11">
      <c r="B11" s="1" t="str">
        <f>Cadastros!B20</f>
        <v>Hublub</v>
      </c>
      <c r="C11" s="1" t="s">
        <v>61</v>
      </c>
      <c r="D11" s="14">
        <f>SUM('Análise'!C38:N38)</f>
        <v>7200</v>
      </c>
      <c r="F11" s="1" t="s">
        <v>164</v>
      </c>
      <c r="G11" s="1">
        <v>10.0</v>
      </c>
    </row>
    <row r="12">
      <c r="B12" s="1" t="str">
        <f>Cadastros!B21</f>
        <v>Silvana (Freela)</v>
      </c>
      <c r="C12" s="1" t="s">
        <v>61</v>
      </c>
      <c r="D12" s="14">
        <f>SUM('Análise'!C39:N39)</f>
        <v>0</v>
      </c>
      <c r="F12" s="15" t="s">
        <v>165</v>
      </c>
      <c r="G12" s="1">
        <v>11.0</v>
      </c>
    </row>
    <row r="13">
      <c r="B13" s="1" t="str">
        <f>Cadastros!B22</f>
        <v>Helio Castroneves</v>
      </c>
      <c r="C13" s="1" t="s">
        <v>61</v>
      </c>
      <c r="D13" s="14">
        <f>SUM('Análise'!C40:N40)</f>
        <v>7035.18</v>
      </c>
      <c r="F13" s="1" t="s">
        <v>166</v>
      </c>
      <c r="G13" s="1">
        <v>12.0</v>
      </c>
    </row>
    <row r="14">
      <c r="B14" s="1" t="str">
        <f>Cadastros!B23</f>
        <v>Freela Silas Passos</v>
      </c>
      <c r="C14" s="1" t="s">
        <v>61</v>
      </c>
      <c r="D14" s="14">
        <f>SUM('Análise'!C41:N41)</f>
        <v>3111.2</v>
      </c>
    </row>
    <row r="15">
      <c r="B15" s="1" t="str">
        <f>Cadastros!B24</f>
        <v>Freela (Elleven)</v>
      </c>
      <c r="C15" s="1" t="s">
        <v>61</v>
      </c>
      <c r="D15" s="14">
        <f>SUM('Análise'!C42:N42)</f>
        <v>0</v>
      </c>
    </row>
    <row r="16">
      <c r="B16" s="1" t="str">
        <f>Cadastros!B25</f>
        <v>SAE Brasil</v>
      </c>
      <c r="C16" s="1" t="s">
        <v>61</v>
      </c>
      <c r="D16" s="14">
        <f>SUM('Análise'!C43:N43)</f>
        <v>705.82</v>
      </c>
    </row>
    <row r="17">
      <c r="B17" s="1" t="str">
        <f>Cadastros!B26</f>
        <v>Entrada reembolso</v>
      </c>
      <c r="C17" s="1" t="s">
        <v>61</v>
      </c>
      <c r="D17" s="14">
        <f>SUM('Análise'!C44:N44)</f>
        <v>0</v>
      </c>
    </row>
    <row r="18">
      <c r="B18" s="1" t="str">
        <f>Cadastros!B28</f>
        <v>RMattheis</v>
      </c>
      <c r="C18" s="1" t="s">
        <v>61</v>
      </c>
      <c r="D18" s="14">
        <f>SUM('Análise'!C45:N45)</f>
        <v>2389.64</v>
      </c>
    </row>
    <row r="19">
      <c r="B19" s="1" t="str">
        <f>Cadastros!C11</f>
        <v>Salário Sócias</v>
      </c>
      <c r="C19" s="1" t="s">
        <v>173</v>
      </c>
      <c r="D19" s="14">
        <f>SUM('Análise'!C46:N46)</f>
        <v>4786.7</v>
      </c>
    </row>
    <row r="20">
      <c r="B20" s="1" t="str">
        <f>Cadastros!C12</f>
        <v>Locomoção etapas/Uber</v>
      </c>
      <c r="C20" s="1" t="s">
        <v>173</v>
      </c>
      <c r="D20" s="14">
        <f>SUM('Análise'!C47:N47)</f>
        <v>2710.31</v>
      </c>
    </row>
    <row r="21" ht="15.75" customHeight="1">
      <c r="B21" s="1" t="str">
        <f>Cadastros!C13</f>
        <v>Designer</v>
      </c>
      <c r="C21" s="1" t="s">
        <v>173</v>
      </c>
      <c r="D21" s="14">
        <f>SUM('Análise'!C48:N48)</f>
        <v>206.4</v>
      </c>
    </row>
    <row r="22" ht="15.75" customHeight="1">
      <c r="B22" s="1" t="str">
        <f>Cadastros!C14</f>
        <v>Poupança - meses sem corrida</v>
      </c>
      <c r="C22" s="1" t="s">
        <v>173</v>
      </c>
      <c r="D22" s="14">
        <f>SUM('Análise'!C49:N49)</f>
        <v>0</v>
      </c>
    </row>
    <row r="23" ht="15.75" customHeight="1">
      <c r="B23" s="1" t="str">
        <f>Cadastros!C15</f>
        <v>Impostos</v>
      </c>
      <c r="C23" s="1" t="s">
        <v>173</v>
      </c>
      <c r="D23" s="14">
        <f>SUM('Análise'!C50:N50)</f>
        <v>373</v>
      </c>
    </row>
    <row r="24" ht="15.75" customHeight="1">
      <c r="B24" s="1" t="str">
        <f>Cadastros!C16</f>
        <v>Pagamento Freelas</v>
      </c>
      <c r="C24" s="1" t="s">
        <v>173</v>
      </c>
      <c r="D24" s="14">
        <f>SUM('Análise'!C51:N51)</f>
        <v>172.1</v>
      </c>
    </row>
    <row r="25" ht="15.75" customHeight="1">
      <c r="B25" s="1" t="str">
        <f>Cadastros!C17</f>
        <v>Reembolso sócias </v>
      </c>
      <c r="C25" s="1" t="s">
        <v>173</v>
      </c>
      <c r="D25" s="14">
        <f>SUM('Análise'!C52:N52)</f>
        <v>17988.6</v>
      </c>
    </row>
    <row r="26" ht="15.75" customHeight="1">
      <c r="B26" s="1" t="str">
        <f>Cadastros!C18</f>
        <v>Contador</v>
      </c>
      <c r="C26" s="1" t="s">
        <v>173</v>
      </c>
      <c r="D26" s="14">
        <f>SUM('Análise'!C53:N53)</f>
        <v>26099.79</v>
      </c>
    </row>
    <row r="27" ht="15.75" customHeight="1">
      <c r="B27" s="1" t="str">
        <f>Cadastros!C19</f>
        <v>Uniforme</v>
      </c>
      <c r="C27" s="1" t="s">
        <v>173</v>
      </c>
      <c r="D27" s="14">
        <f>SUM('Análise'!C54:N54)</f>
        <v>0</v>
      </c>
    </row>
    <row r="28" ht="15.75" customHeight="1">
      <c r="B28" s="1" t="str">
        <f>Cadastros!C20</f>
        <v>Fotos/Estúdio</v>
      </c>
      <c r="C28" s="1" t="s">
        <v>173</v>
      </c>
      <c r="D28" s="14">
        <f>SUM('Análise'!C55:N55)</f>
        <v>0</v>
      </c>
    </row>
    <row r="29" ht="15.75" customHeight="1">
      <c r="B29" s="1" t="str">
        <f>Cadastros!C21</f>
        <v>Hospedagem</v>
      </c>
      <c r="C29" s="1" t="s">
        <v>173</v>
      </c>
      <c r="D29" s="14">
        <f>SUM('Análise'!C56:N56)</f>
        <v>0</v>
      </c>
    </row>
    <row r="30" ht="15.75" customHeight="1">
      <c r="B30" s="1" t="str">
        <f>Cadastros!C22</f>
        <v>Avião/ônibus etapas</v>
      </c>
      <c r="C30" s="1" t="s">
        <v>173</v>
      </c>
      <c r="D30" s="14">
        <f>SUM('Análise'!C57:N57)</f>
        <v>0</v>
      </c>
    </row>
    <row r="31" ht="15.75" customHeight="1">
      <c r="B31" s="1" t="str">
        <f>Cadastros!C23</f>
        <v>Alimentação</v>
      </c>
      <c r="C31" s="1" t="s">
        <v>173</v>
      </c>
      <c r="D31" s="14">
        <f>SUM('Análise'!C58:N58)</f>
        <v>0</v>
      </c>
    </row>
    <row r="32" ht="15.75" customHeight="1">
      <c r="B32" s="1" t="str">
        <f>Cadastros!C24</f>
        <v>Equipamentos</v>
      </c>
      <c r="C32" s="1" t="s">
        <v>173</v>
      </c>
      <c r="D32" s="14">
        <f>SUM('Análise'!C59:N59)</f>
        <v>0</v>
      </c>
    </row>
    <row r="33" ht="15.75" customHeight="1">
      <c r="B33" s="1" t="str">
        <f>Cadastros!C25</f>
        <v>Advogado</v>
      </c>
      <c r="C33" s="1" t="s">
        <v>173</v>
      </c>
      <c r="D33" s="14">
        <f>SUM('Análise'!C60:N60)</f>
        <v>0</v>
      </c>
    </row>
    <row r="34" ht="15.75" customHeight="1">
      <c r="B34" s="1" t="str">
        <f>Cadastros!C26</f>
        <v>DAS Marina</v>
      </c>
      <c r="C34" s="1" t="s">
        <v>173</v>
      </c>
      <c r="D34" s="14">
        <f>SUM('Análise'!C61:N61)</f>
        <v>0</v>
      </c>
    </row>
    <row r="35" ht="15.75" customHeight="1">
      <c r="B35" s="1" t="str">
        <f>Cadastros!C28</f>
        <v>DAS Victoria</v>
      </c>
      <c r="C35" s="1" t="s">
        <v>173</v>
      </c>
      <c r="D35" s="14">
        <f>SUM('Análise'!C62:N62)</f>
        <v>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25"/>
    <col customWidth="1" min="2" max="2" width="21.5"/>
    <col customWidth="1" min="3" max="3" width="20.5"/>
    <col customWidth="1" min="4" max="4" width="13.5"/>
    <col customWidth="1" min="5" max="5" width="28.25"/>
    <col customWidth="1" min="6" max="6" width="26.5"/>
  </cols>
  <sheetData>
    <row r="1" ht="22.5" customHeight="1">
      <c r="A1" s="5" t="s">
        <v>9</v>
      </c>
      <c r="B1" s="5" t="s">
        <v>26</v>
      </c>
      <c r="C1" s="5" t="s">
        <v>32</v>
      </c>
      <c r="D1" s="5" t="s">
        <v>38</v>
      </c>
      <c r="E1" s="5" t="s">
        <v>42</v>
      </c>
      <c r="F1" s="5" t="s">
        <v>47</v>
      </c>
    </row>
    <row r="2" ht="22.5" customHeight="1">
      <c r="A2" s="10" t="s">
        <v>53</v>
      </c>
      <c r="B2" s="10" t="s">
        <v>57</v>
      </c>
      <c r="C2" s="12">
        <v>46042.0</v>
      </c>
      <c r="D2" s="10" t="s">
        <v>64</v>
      </c>
      <c r="E2" s="10" t="s">
        <v>66</v>
      </c>
      <c r="F2" s="10" t="s">
        <v>68</v>
      </c>
    </row>
    <row r="3" ht="22.5" customHeight="1">
      <c r="A3" s="10" t="s">
        <v>81</v>
      </c>
      <c r="B3" s="10" t="s">
        <v>87</v>
      </c>
      <c r="C3" s="12">
        <v>46055.0</v>
      </c>
      <c r="D3" s="10" t="s">
        <v>64</v>
      </c>
      <c r="E3" s="10" t="s">
        <v>66</v>
      </c>
      <c r="F3" s="10" t="s">
        <v>92</v>
      </c>
    </row>
    <row r="4" ht="22.5" customHeight="1">
      <c r="A4" s="10" t="s">
        <v>96</v>
      </c>
      <c r="B4" s="10" t="s">
        <v>98</v>
      </c>
      <c r="C4" s="12">
        <v>46055.0</v>
      </c>
      <c r="D4" s="10" t="s">
        <v>64</v>
      </c>
      <c r="E4" s="10" t="s">
        <v>100</v>
      </c>
      <c r="F4" s="10" t="s">
        <v>101</v>
      </c>
    </row>
    <row r="5" ht="22.5" customHeight="1">
      <c r="A5" s="10" t="s">
        <v>102</v>
      </c>
      <c r="B5" s="10" t="s">
        <v>57</v>
      </c>
      <c r="C5" s="12">
        <v>46055.0</v>
      </c>
      <c r="D5" s="10" t="s">
        <v>64</v>
      </c>
      <c r="E5" s="10" t="s">
        <v>100</v>
      </c>
      <c r="F5" s="10" t="s">
        <v>109</v>
      </c>
    </row>
    <row r="6" ht="22.5" customHeight="1">
      <c r="A6" s="10" t="s">
        <v>113</v>
      </c>
      <c r="B6" s="10" t="s">
        <v>98</v>
      </c>
      <c r="C6" s="12">
        <v>46203.0</v>
      </c>
      <c r="D6" s="10" t="s">
        <v>64</v>
      </c>
      <c r="E6" s="10" t="s">
        <v>100</v>
      </c>
      <c r="F6" s="10" t="s">
        <v>126</v>
      </c>
    </row>
    <row r="7" ht="22.5" customHeight="1">
      <c r="A7" s="22" t="s">
        <v>130</v>
      </c>
      <c r="B7" s="10" t="s">
        <v>132</v>
      </c>
      <c r="C7" s="12">
        <v>46447.0</v>
      </c>
      <c r="D7" s="10" t="s">
        <v>64</v>
      </c>
      <c r="E7" s="10" t="s">
        <v>100</v>
      </c>
      <c r="F7" s="10" t="s">
        <v>138</v>
      </c>
    </row>
    <row r="8" ht="22.5" customHeight="1">
      <c r="A8" s="22" t="s">
        <v>139</v>
      </c>
      <c r="B8" s="22" t="s">
        <v>140</v>
      </c>
      <c r="C8" s="12">
        <v>46152.0</v>
      </c>
      <c r="D8" s="10" t="s">
        <v>64</v>
      </c>
      <c r="E8" s="10" t="s">
        <v>100</v>
      </c>
      <c r="F8" s="10" t="s">
        <v>138</v>
      </c>
    </row>
    <row r="9" ht="22.5" customHeight="1">
      <c r="A9" s="22" t="s">
        <v>141</v>
      </c>
      <c r="B9" s="10" t="s">
        <v>132</v>
      </c>
      <c r="C9" s="12">
        <v>45992.0</v>
      </c>
      <c r="D9" s="10" t="s">
        <v>64</v>
      </c>
      <c r="E9" s="10" t="s">
        <v>100</v>
      </c>
      <c r="F9" s="10" t="s">
        <v>138</v>
      </c>
    </row>
    <row r="10" ht="22.5" customHeight="1">
      <c r="A10" s="24" t="s">
        <v>142</v>
      </c>
      <c r="B10" s="10" t="s">
        <v>143</v>
      </c>
      <c r="C10" s="12">
        <v>46041.0</v>
      </c>
      <c r="D10" s="10" t="s">
        <v>64</v>
      </c>
      <c r="E10" s="10" t="s">
        <v>66</v>
      </c>
      <c r="F10" s="10" t="s">
        <v>144</v>
      </c>
    </row>
    <row r="11" ht="22.5" customHeight="1">
      <c r="A11" s="24" t="s">
        <v>145</v>
      </c>
      <c r="B11" s="10" t="s">
        <v>146</v>
      </c>
      <c r="C11" s="12">
        <v>46045.0</v>
      </c>
      <c r="D11" s="10" t="s">
        <v>64</v>
      </c>
      <c r="E11" s="10"/>
      <c r="F11" s="10" t="s">
        <v>147</v>
      </c>
    </row>
    <row r="12" ht="22.5" customHeight="1">
      <c r="A12" s="24" t="s">
        <v>148</v>
      </c>
      <c r="B12" s="10"/>
      <c r="C12" s="12"/>
      <c r="D12" s="10"/>
      <c r="E12" s="10"/>
      <c r="F12" s="10"/>
    </row>
  </sheetData>
  <dataValidations>
    <dataValidation type="custom" allowBlank="1" showDropDown="1" sqref="C2:C12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7.5"/>
    <col customWidth="1" min="2" max="2" width="30.0"/>
    <col customWidth="1" min="3" max="3" width="37.13"/>
    <col customWidth="1" min="5" max="5" width="15.75"/>
    <col customWidth="1" min="6" max="6" width="19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2" t="s">
        <v>6</v>
      </c>
      <c r="B2" s="2" t="s">
        <v>7</v>
      </c>
      <c r="C2" s="2" t="s">
        <v>8</v>
      </c>
      <c r="E2" s="3">
        <v>1.4231825011E11</v>
      </c>
      <c r="F2" s="2" t="s">
        <v>11</v>
      </c>
      <c r="G2" s="2">
        <v>4600.0</v>
      </c>
    </row>
    <row r="3">
      <c r="A3" s="2" t="s">
        <v>12</v>
      </c>
      <c r="B3" s="2" t="s">
        <v>13</v>
      </c>
      <c r="C3" s="2" t="s">
        <v>14</v>
      </c>
    </row>
    <row r="4">
      <c r="A4" s="2" t="s">
        <v>15</v>
      </c>
      <c r="B4" s="2" t="s">
        <v>16</v>
      </c>
      <c r="C4" s="2" t="s">
        <v>17</v>
      </c>
    </row>
    <row r="5">
      <c r="A5" s="2" t="s">
        <v>18</v>
      </c>
      <c r="B5" s="2" t="s">
        <v>19</v>
      </c>
      <c r="F5" s="3">
        <v>1200.0</v>
      </c>
    </row>
    <row r="6">
      <c r="A6" s="2" t="s">
        <v>20</v>
      </c>
      <c r="B6" s="2" t="s">
        <v>21</v>
      </c>
      <c r="F6" s="3">
        <v>1500.0</v>
      </c>
    </row>
    <row r="7">
      <c r="A7" s="2" t="s">
        <v>22</v>
      </c>
      <c r="B7" s="2" t="s">
        <v>23</v>
      </c>
    </row>
    <row r="8">
      <c r="A8" s="2" t="s">
        <v>25</v>
      </c>
    </row>
    <row r="9">
      <c r="A9" s="2" t="s">
        <v>27</v>
      </c>
      <c r="B9" s="2" t="s">
        <v>28</v>
      </c>
    </row>
    <row r="10">
      <c r="A10" s="2" t="s">
        <v>30</v>
      </c>
      <c r="B10" s="2" t="s">
        <v>33</v>
      </c>
      <c r="C10" s="2" t="s">
        <v>34</v>
      </c>
    </row>
    <row r="11">
      <c r="A11" s="2" t="s">
        <v>36</v>
      </c>
      <c r="B11" s="2" t="s">
        <v>37</v>
      </c>
    </row>
    <row r="12">
      <c r="A12" s="7" t="s">
        <v>40</v>
      </c>
    </row>
    <row r="14">
      <c r="A14" s="2" t="s">
        <v>46</v>
      </c>
    </row>
    <row r="15">
      <c r="A15" s="2" t="s">
        <v>49</v>
      </c>
    </row>
    <row r="18">
      <c r="A18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3.38"/>
    <col customWidth="1" min="6" max="6" width="20.0"/>
    <col customWidth="1" min="7" max="7" width="24.13"/>
    <col customWidth="1" min="8" max="8" width="20.5"/>
    <col customWidth="1" min="9" max="9" width="18.88"/>
  </cols>
  <sheetData>
    <row r="1">
      <c r="A1" s="4" t="s">
        <v>10</v>
      </c>
      <c r="B1" s="4" t="s">
        <v>24</v>
      </c>
    </row>
    <row r="2">
      <c r="A2" s="2" t="s">
        <v>29</v>
      </c>
      <c r="B2" s="2" t="s">
        <v>31</v>
      </c>
    </row>
    <row r="3">
      <c r="A3" s="6" t="s">
        <v>35</v>
      </c>
      <c r="B3" s="2" t="s">
        <v>39</v>
      </c>
    </row>
    <row r="4">
      <c r="A4" s="2" t="s">
        <v>41</v>
      </c>
      <c r="B4" s="2" t="s">
        <v>43</v>
      </c>
    </row>
    <row r="5">
      <c r="A5" s="2" t="s">
        <v>44</v>
      </c>
      <c r="B5" s="2" t="s">
        <v>45</v>
      </c>
      <c r="F5" s="2" t="s">
        <v>48</v>
      </c>
    </row>
    <row r="6">
      <c r="A6" s="2" t="s">
        <v>50</v>
      </c>
      <c r="B6" s="2" t="s">
        <v>51</v>
      </c>
      <c r="F6" s="8" t="s">
        <v>52</v>
      </c>
      <c r="G6" s="9" t="s">
        <v>54</v>
      </c>
    </row>
    <row r="7">
      <c r="A7" s="2" t="s">
        <v>55</v>
      </c>
      <c r="B7" s="2" t="s">
        <v>56</v>
      </c>
      <c r="F7" s="7" t="s">
        <v>29</v>
      </c>
      <c r="G7" s="7" t="s">
        <v>58</v>
      </c>
    </row>
    <row r="8">
      <c r="A8" s="2" t="s">
        <v>59</v>
      </c>
      <c r="B8" s="2" t="s">
        <v>60</v>
      </c>
      <c r="F8" s="11" t="s">
        <v>35</v>
      </c>
      <c r="G8" s="2" t="s">
        <v>39</v>
      </c>
    </row>
    <row r="9">
      <c r="A9" s="11" t="s">
        <v>62</v>
      </c>
      <c r="B9" s="11" t="s">
        <v>63</v>
      </c>
      <c r="F9" s="2" t="s">
        <v>41</v>
      </c>
      <c r="G9" s="7" t="s">
        <v>43</v>
      </c>
    </row>
    <row r="10">
      <c r="A10" s="13" t="s">
        <v>65</v>
      </c>
      <c r="B10" s="13" t="s">
        <v>67</v>
      </c>
      <c r="F10" s="7" t="s">
        <v>44</v>
      </c>
      <c r="G10" s="2" t="s">
        <v>45</v>
      </c>
    </row>
    <row r="11">
      <c r="F11" s="11" t="s">
        <v>69</v>
      </c>
      <c r="G11" s="11" t="s">
        <v>60</v>
      </c>
    </row>
    <row r="12">
      <c r="A12" s="2" t="s">
        <v>70</v>
      </c>
      <c r="F12" s="11" t="s">
        <v>55</v>
      </c>
      <c r="G12" s="7" t="s">
        <v>71</v>
      </c>
    </row>
    <row r="13">
      <c r="F13" s="7" t="s">
        <v>73</v>
      </c>
      <c r="G13" s="7" t="s">
        <v>74</v>
      </c>
    </row>
    <row r="14">
      <c r="F14" s="7" t="s">
        <v>75</v>
      </c>
      <c r="G14" s="7" t="s">
        <v>77</v>
      </c>
    </row>
    <row r="15">
      <c r="G15" s="7" t="s">
        <v>78</v>
      </c>
    </row>
    <row r="16">
      <c r="A16" s="8" t="s">
        <v>52</v>
      </c>
      <c r="B16" s="9" t="s">
        <v>54</v>
      </c>
      <c r="G16" s="7" t="s">
        <v>79</v>
      </c>
    </row>
    <row r="17">
      <c r="A17" s="2" t="s">
        <v>44</v>
      </c>
      <c r="B17" s="2" t="s">
        <v>80</v>
      </c>
      <c r="G17" s="7" t="s">
        <v>82</v>
      </c>
    </row>
    <row r="18">
      <c r="A18" s="2" t="s">
        <v>83</v>
      </c>
      <c r="B18" s="2" t="s">
        <v>84</v>
      </c>
      <c r="F18" s="2" t="s">
        <v>85</v>
      </c>
      <c r="G18" s="2" t="s">
        <v>86</v>
      </c>
      <c r="H18" s="16" t="s">
        <v>88</v>
      </c>
      <c r="I18" s="17" t="s">
        <v>89</v>
      </c>
    </row>
    <row r="19">
      <c r="A19" s="2" t="s">
        <v>90</v>
      </c>
      <c r="I19" s="17" t="s">
        <v>91</v>
      </c>
    </row>
    <row r="20">
      <c r="A20" s="2" t="s">
        <v>93</v>
      </c>
      <c r="H20" s="2" t="s">
        <v>94</v>
      </c>
    </row>
    <row r="21">
      <c r="A21" s="2" t="s">
        <v>50</v>
      </c>
      <c r="F21" s="18" t="s">
        <v>95</v>
      </c>
      <c r="H21" s="2"/>
    </row>
    <row r="22">
      <c r="A22" s="2" t="s">
        <v>97</v>
      </c>
      <c r="F22" s="8" t="s">
        <v>52</v>
      </c>
      <c r="G22" s="9" t="s">
        <v>54</v>
      </c>
    </row>
    <row r="23">
      <c r="A23" s="2" t="s">
        <v>83</v>
      </c>
      <c r="F23" s="2" t="s">
        <v>29</v>
      </c>
      <c r="G23" s="2" t="s">
        <v>58</v>
      </c>
    </row>
    <row r="24">
      <c r="A24" s="2" t="s">
        <v>99</v>
      </c>
      <c r="B24" s="19"/>
      <c r="F24" s="20" t="s">
        <v>35</v>
      </c>
      <c r="G24" s="2" t="s">
        <v>39</v>
      </c>
    </row>
    <row r="25">
      <c r="F25" s="2" t="s">
        <v>41</v>
      </c>
      <c r="G25" s="2" t="s">
        <v>103</v>
      </c>
    </row>
    <row r="26">
      <c r="A26" s="2" t="s">
        <v>104</v>
      </c>
      <c r="F26" s="2" t="s">
        <v>44</v>
      </c>
      <c r="G26" s="2" t="s">
        <v>106</v>
      </c>
    </row>
    <row r="27">
      <c r="F27" s="11" t="s">
        <v>69</v>
      </c>
      <c r="G27" s="20" t="s">
        <v>108</v>
      </c>
    </row>
    <row r="28">
      <c r="A28" s="3" t="s">
        <v>110</v>
      </c>
      <c r="F28" s="2" t="s">
        <v>55</v>
      </c>
      <c r="G28" s="2" t="s">
        <v>82</v>
      </c>
    </row>
    <row r="29">
      <c r="A29" s="2" t="s">
        <v>99</v>
      </c>
      <c r="B29" s="19" t="s">
        <v>111</v>
      </c>
      <c r="F29" s="2" t="s">
        <v>73</v>
      </c>
      <c r="G29" s="2" t="s">
        <v>112</v>
      </c>
    </row>
    <row r="30">
      <c r="A30" s="2" t="s">
        <v>114</v>
      </c>
      <c r="F30" s="2" t="s">
        <v>75</v>
      </c>
      <c r="G30" s="2" t="s">
        <v>115</v>
      </c>
    </row>
    <row r="31">
      <c r="A31" s="2" t="s">
        <v>116</v>
      </c>
      <c r="G31" s="11" t="s">
        <v>117</v>
      </c>
    </row>
    <row r="32">
      <c r="G32" s="2" t="s">
        <v>118</v>
      </c>
    </row>
    <row r="33">
      <c r="A33" s="2" t="s">
        <v>119</v>
      </c>
      <c r="B33" s="2" t="s">
        <v>120</v>
      </c>
      <c r="C33" s="3">
        <v>12317.0</v>
      </c>
      <c r="G33" s="2" t="s">
        <v>121</v>
      </c>
    </row>
    <row r="34">
      <c r="F34" s="2" t="s">
        <v>85</v>
      </c>
      <c r="G34" s="2" t="s">
        <v>122</v>
      </c>
    </row>
    <row r="35">
      <c r="A35" s="3">
        <v>3720.0</v>
      </c>
      <c r="B35" s="2" t="s">
        <v>123</v>
      </c>
      <c r="G35" s="20" t="s">
        <v>124</v>
      </c>
    </row>
    <row r="36">
      <c r="A36" s="3">
        <v>7600.0</v>
      </c>
      <c r="B36" s="2" t="s">
        <v>125</v>
      </c>
      <c r="G36" s="20" t="s">
        <v>127</v>
      </c>
    </row>
    <row r="37">
      <c r="G37" s="2" t="s">
        <v>128</v>
      </c>
    </row>
    <row r="38">
      <c r="G38" s="2" t="s">
        <v>43</v>
      </c>
      <c r="I38" s="2"/>
    </row>
    <row r="39">
      <c r="A39" s="2" t="s">
        <v>129</v>
      </c>
      <c r="G39" s="2"/>
      <c r="H39" s="2"/>
    </row>
    <row r="40">
      <c r="G40" s="2" t="s">
        <v>131</v>
      </c>
      <c r="H40" s="2"/>
      <c r="I40" s="2"/>
    </row>
    <row r="41">
      <c r="H41" s="2"/>
      <c r="I41" s="19"/>
    </row>
    <row r="43">
      <c r="F43" s="2" t="s">
        <v>133</v>
      </c>
      <c r="G43" s="23" t="s">
        <v>134</v>
      </c>
    </row>
    <row r="44">
      <c r="G44" s="2" t="s">
        <v>135</v>
      </c>
    </row>
    <row r="45">
      <c r="G45" s="2" t="s">
        <v>136</v>
      </c>
    </row>
    <row r="46">
      <c r="G46" s="2" t="s">
        <v>137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1.38"/>
    <col customWidth="1" min="2" max="2" width="13.13"/>
    <col customWidth="1" hidden="1" min="3" max="3" width="13.13"/>
    <col customWidth="1" min="4" max="4" width="49.88"/>
    <col customWidth="1" hidden="1" min="5" max="5" width="15.25"/>
    <col customWidth="1" min="6" max="6" width="18.88"/>
    <col customWidth="1" min="7" max="7" width="11.25"/>
    <col customWidth="1" hidden="1" min="8" max="8" width="15.88"/>
    <col customWidth="1" min="9" max="26" width="8.88"/>
  </cols>
  <sheetData>
    <row r="1" ht="29.25" customHeight="1"/>
    <row r="2" ht="31.5" customHeight="1"/>
    <row r="3" ht="32.25" customHeight="1"/>
    <row r="4">
      <c r="B4" s="25" t="s">
        <v>155</v>
      </c>
      <c r="C4" s="25" t="s">
        <v>158</v>
      </c>
      <c r="D4" s="25" t="s">
        <v>159</v>
      </c>
      <c r="E4" s="25" t="s">
        <v>160</v>
      </c>
      <c r="F4" s="25" t="s">
        <v>162</v>
      </c>
      <c r="G4" s="25" t="s">
        <v>107</v>
      </c>
      <c r="H4" s="25" t="s">
        <v>163</v>
      </c>
    </row>
    <row r="5">
      <c r="B5" s="26">
        <v>46041.0</v>
      </c>
      <c r="C5" s="27">
        <f>IF('Lançamentos'!$B5&lt;&gt;"",YEAR('Lançamentos'!$B5)*100+MONTH(B5),"")</f>
        <v>202601</v>
      </c>
      <c r="D5" s="30" t="s">
        <v>167</v>
      </c>
      <c r="E5" s="40" t="str">
        <f t="array" ref="E5">IFERROR(_xlfn.XLOOKUP('Lançamentos'!$D5,Planilha1!$B$2:$B$35,Planilha1!$C$2:$C$35),0)</f>
        <v>S</v>
      </c>
      <c r="F5" s="42">
        <v>705.82</v>
      </c>
      <c r="G5" s="43" t="b">
        <v>1</v>
      </c>
      <c r="H5" s="45">
        <f>IF(AND('Análise'!$G$7="Pago",'Lançamentos'!$G5=TRUE),'Lançamentos'!$F5,IF(AND('Análise'!$G$7="Em Aberto",'Lançamentos'!$G5=FALSE),'Lançamentos'!$F5,IF('Análise'!$G$7="Todos",'Lançamentos'!$F5,0)))</f>
        <v>705.82</v>
      </c>
    </row>
    <row r="6">
      <c r="B6" s="26">
        <v>46042.0</v>
      </c>
      <c r="C6" s="27">
        <f>IF('Lançamentos'!$B6&lt;&gt;"",YEAR('Lançamentos'!$B6)*100+MONTH(B6),"")</f>
        <v>202601</v>
      </c>
      <c r="D6" s="30" t="s">
        <v>53</v>
      </c>
      <c r="E6" s="40" t="str">
        <f t="array" ref="E6">IFERROR(_xlfn.XLOOKUP('Lançamentos'!$D6,Planilha1!$B$2:$B$35,Planilha1!$C$2:$C$35),0)</f>
        <v>E</v>
      </c>
      <c r="F6" s="51">
        <v>2500.0</v>
      </c>
      <c r="G6" s="43" t="b">
        <v>1</v>
      </c>
      <c r="H6" s="45">
        <f>IF(AND('Análise'!$G$7="Pago",'Lançamentos'!$G6=TRUE),'Lançamentos'!$F6,IF(AND('Análise'!$G$7="Em Aberto",'Lançamentos'!$G6=FALSE),'Lançamentos'!$F6,IF('Análise'!$G$7="Todos",'Lançamentos'!$F6,0)))</f>
        <v>2500</v>
      </c>
    </row>
    <row r="7">
      <c r="B7" s="52">
        <v>45306.0</v>
      </c>
      <c r="C7" s="27">
        <f>IF('Lançamentos'!$B7&lt;&gt;"",YEAR('Lançamentos'!$B7)*100+MONTH(B7),"")</f>
        <v>202401</v>
      </c>
      <c r="D7" s="30" t="s">
        <v>188</v>
      </c>
      <c r="E7" s="40" t="str">
        <f t="array" ref="E7">IFERROR(_xlfn.XLOOKUP('Lançamentos'!$D7,Planilha1!$B$2:$B$35,Planilha1!$C$2:$C$35),0)</f>
        <v>S</v>
      </c>
      <c r="F7" s="51">
        <v>650.0</v>
      </c>
      <c r="G7" s="43" t="b">
        <v>1</v>
      </c>
      <c r="H7" s="45">
        <f>IF(AND('Análise'!$G$7="Pago",'Lançamentos'!$G7=TRUE),'Lançamentos'!$F7,IF(AND('Análise'!$G$7="Em Aberto",'Lançamentos'!$G7=FALSE),'Lançamentos'!$F7,IF('Análise'!$G$7="Todos",'Lançamentos'!$F7,0)))</f>
        <v>650</v>
      </c>
    </row>
    <row r="8">
      <c r="B8" s="26">
        <v>46064.0</v>
      </c>
      <c r="C8" s="27">
        <f>IF('Lançamentos'!$B8&lt;&gt;"",YEAR('Lançamentos'!$B8)*100+MONTH(B8),"")</f>
        <v>202602</v>
      </c>
      <c r="D8" s="30" t="s">
        <v>189</v>
      </c>
      <c r="E8" s="40" t="str">
        <f t="array" ref="E8">IFERROR(_xlfn.XLOOKUP('Lançamentos'!$D8,Planilha1!$B$2:$B$35,Planilha1!$C$2:$C$35),0)</f>
        <v>E</v>
      </c>
      <c r="F8" s="51">
        <v>500.0</v>
      </c>
      <c r="G8" s="43" t="b">
        <v>1</v>
      </c>
      <c r="H8" s="45">
        <f>IF(AND('Análise'!$G$7="Pago",'Lançamentos'!$G8=TRUE),'Lançamentos'!$F8,IF(AND('Análise'!$G$7="Em Aberto",'Lançamentos'!$G8=FALSE),'Lançamentos'!$F8,IF('Análise'!$G$7="Todos",'Lançamentos'!$F8,0)))</f>
        <v>500</v>
      </c>
    </row>
    <row r="9">
      <c r="B9" s="26">
        <v>46086.0</v>
      </c>
      <c r="C9" s="27">
        <f>IF('Lançamentos'!$B9&lt;&gt;"",YEAR('Lançamentos'!$B9)*100+MONTH(B9),"")</f>
        <v>202603</v>
      </c>
      <c r="D9" s="30" t="s">
        <v>190</v>
      </c>
      <c r="E9" s="40" t="str">
        <f t="array" ref="E9">IFERROR(_xlfn.XLOOKUP('Lançamentos'!$D9,Planilha1!$B$2:$B$35,Planilha1!$C$2:$C$35),0)</f>
        <v>S</v>
      </c>
      <c r="F9" s="51">
        <v>1128.0</v>
      </c>
      <c r="G9" s="43" t="b">
        <v>1</v>
      </c>
      <c r="H9" s="45">
        <f>IF(AND('Análise'!$G$7="Pago",'Lançamentos'!$G9=TRUE),'Lançamentos'!$F9,IF(AND('Análise'!$G$7="Em Aberto",'Lançamentos'!$G9=FALSE),'Lançamentos'!$F9,IF('Análise'!$G$7="Todos",'Lançamentos'!$F9,0)))</f>
        <v>1128</v>
      </c>
    </row>
    <row r="10">
      <c r="B10" s="26">
        <v>46086.0</v>
      </c>
      <c r="C10" s="27">
        <f>IF('Lançamentos'!$B10&lt;&gt;"",YEAR('Lançamentos'!$B10)*100+MONTH(B10),"")</f>
        <v>202603</v>
      </c>
      <c r="D10" s="30" t="s">
        <v>192</v>
      </c>
      <c r="E10" s="40" t="str">
        <f t="array" ref="E10">IFERROR(_xlfn.XLOOKUP('Lançamentos'!$D10,Planilha1!$B$2:$B$35,Planilha1!$C$2:$C$35),0)</f>
        <v>S</v>
      </c>
      <c r="F10" s="51">
        <v>1598.0</v>
      </c>
      <c r="G10" s="43" t="b">
        <v>1</v>
      </c>
      <c r="H10" s="45">
        <f>IF(AND('Análise'!$G$7="Pago",'Lançamentos'!$G10=TRUE),'Lançamentos'!$F10,IF(AND('Análise'!$G$7="Em Aberto",'Lançamentos'!$G10=FALSE),'Lançamentos'!$F10,IF('Análise'!$G$7="Todos",'Lançamentos'!$F10,0)))</f>
        <v>1598</v>
      </c>
    </row>
    <row r="11">
      <c r="B11" s="26">
        <v>46073.0</v>
      </c>
      <c r="C11" s="27">
        <f>IF('Lançamentos'!$B11&lt;&gt;"",YEAR('Lançamentos'!$B11)*100+MONTH(B11),"")</f>
        <v>202602</v>
      </c>
      <c r="D11" s="30" t="s">
        <v>53</v>
      </c>
      <c r="E11" s="40" t="str">
        <f t="array" ref="E11">IFERROR(_xlfn.XLOOKUP('Lançamentos'!$D11,Planilha1!$B$2:$B$35,Planilha1!$C$2:$C$35),0)</f>
        <v>E</v>
      </c>
      <c r="F11" s="51">
        <v>2500.0</v>
      </c>
      <c r="G11" s="43" t="b">
        <v>1</v>
      </c>
      <c r="H11" s="45">
        <f>IF(AND('Análise'!$G$7="Pago",'Lançamentos'!$G11=TRUE),'Lançamentos'!$F11,IF(AND('Análise'!$G$7="Em Aberto",'Lançamentos'!$G11=FALSE),'Lançamentos'!$F11,IF('Análise'!$G$7="Todos",'Lançamentos'!$F11,0)))</f>
        <v>2500</v>
      </c>
    </row>
    <row r="12">
      <c r="B12" s="26">
        <v>45306.0</v>
      </c>
      <c r="C12" s="27">
        <f>IF('Lançamentos'!$B12&lt;&gt;"",YEAR('Lançamentos'!$B12)*100+MONTH(B12),"")</f>
        <v>202401</v>
      </c>
      <c r="D12" s="30" t="s">
        <v>181</v>
      </c>
      <c r="E12" s="40" t="str">
        <f t="array" ref="E12">IFERROR(_xlfn.XLOOKUP('Lançamentos'!$D12,Planilha1!$B$2:$B$35,Planilha1!$C$2:$C$35),0)</f>
        <v>S</v>
      </c>
      <c r="F12" s="51">
        <v>140.0</v>
      </c>
      <c r="G12" s="43" t="b">
        <v>1</v>
      </c>
      <c r="H12" s="45">
        <f>IF(AND('Análise'!$G$7="Pago",'Lançamentos'!$G12=TRUE),'Lançamentos'!$F12,IF(AND('Análise'!$G$7="Em Aberto",'Lançamentos'!$G12=FALSE),'Lançamentos'!$F12,IF('Análise'!$G$7="Todos",'Lançamentos'!$F12,0)))</f>
        <v>140</v>
      </c>
    </row>
    <row r="13">
      <c r="B13" s="26">
        <v>46205.0</v>
      </c>
      <c r="C13" s="27">
        <f>IF('Lançamentos'!$B13&lt;&gt;"",YEAR('Lançamentos'!$B13)*100+MONTH(B13),"")</f>
        <v>202607</v>
      </c>
      <c r="D13" s="30" t="s">
        <v>184</v>
      </c>
      <c r="E13" s="40" t="str">
        <f t="array" ref="E13">IFERROR(_xlfn.XLOOKUP('Lançamentos'!$D13,Planilha1!$B$2:$B$35,Planilha1!$C$2:$C$35),0)</f>
        <v>E</v>
      </c>
      <c r="F13" s="51">
        <v>3600.0</v>
      </c>
      <c r="G13" s="43" t="b">
        <v>1</v>
      </c>
      <c r="H13" s="45">
        <f>IF(AND('Análise'!$G$7="Pago",'Lançamentos'!$G13=TRUE),'Lançamentos'!$F13,IF(AND('Análise'!$G$7="Em Aberto",'Lançamentos'!$G13=FALSE),'Lançamentos'!$F13,IF('Análise'!$G$7="Todos",'Lançamentos'!$F13,0)))</f>
        <v>3600</v>
      </c>
    </row>
    <row r="14">
      <c r="B14" s="26">
        <v>46205.0</v>
      </c>
      <c r="C14" s="27">
        <f>IF('Lançamentos'!$B14&lt;&gt;"",YEAR('Lançamentos'!$B14)*100+MONTH(B14),"")</f>
        <v>202607</v>
      </c>
      <c r="D14" s="30" t="s">
        <v>102</v>
      </c>
      <c r="E14" s="40" t="str">
        <f t="array" ref="E14">IFERROR(_xlfn.XLOOKUP('Lançamentos'!$D14,Planilha1!$B$2:$B$35,Planilha1!$C$2:$C$35),0)</f>
        <v>E</v>
      </c>
      <c r="F14" s="51">
        <v>2500.0</v>
      </c>
      <c r="G14" s="43" t="b">
        <v>1</v>
      </c>
      <c r="H14" s="45">
        <f>IF(AND('Análise'!$G$7="Pago",'Lançamentos'!$G14=TRUE),'Lançamentos'!$F14,IF(AND('Análise'!$G$7="Em Aberto",'Lançamentos'!$G14=FALSE),'Lançamentos'!$F14,IF('Análise'!$G$7="Todos",'Lançamentos'!$F14,0)))</f>
        <v>2500</v>
      </c>
    </row>
    <row r="15">
      <c r="B15" s="26">
        <v>46204.0</v>
      </c>
      <c r="C15" s="27">
        <f>IF('Lançamentos'!$B15&lt;&gt;"",YEAR('Lançamentos'!$B15)*100+MONTH(B15),"")</f>
        <v>202607</v>
      </c>
      <c r="D15" s="30" t="s">
        <v>142</v>
      </c>
      <c r="E15" s="40" t="str">
        <f t="array" ref="E15">IFERROR(_xlfn.XLOOKUP('Lançamentos'!$D15,Planilha1!$B$2:$B$35,Planilha1!$C$2:$C$35),0)</f>
        <v>E</v>
      </c>
      <c r="F15" s="51">
        <v>1066.0</v>
      </c>
      <c r="G15" s="43" t="b">
        <v>1</v>
      </c>
      <c r="H15" s="45">
        <f>IF(AND('Análise'!$G$7="Pago",'Lançamentos'!$G15=TRUE),'Lançamentos'!$F15,IF(AND('Análise'!$G$7="Em Aberto",'Lançamentos'!$G15=FALSE),'Lançamentos'!$F15,IF('Análise'!$G$7="Todos",'Lançamentos'!$F15,0)))</f>
        <v>1066</v>
      </c>
    </row>
    <row r="16">
      <c r="B16" s="26">
        <v>46204.0</v>
      </c>
      <c r="C16" s="27">
        <f>IF('Lançamentos'!$B16&lt;&gt;"",YEAR('Lançamentos'!$B16)*100+MONTH(B16),"")</f>
        <v>202607</v>
      </c>
      <c r="D16" s="30" t="s">
        <v>186</v>
      </c>
      <c r="E16" s="40" t="str">
        <f t="array" ref="E16">IFERROR(_xlfn.XLOOKUP('Lançamentos'!$D16,Planilha1!$B$2:$B$35,Planilha1!$C$2:$C$35),0)</f>
        <v>E</v>
      </c>
      <c r="F16" s="51">
        <v>1800.0</v>
      </c>
      <c r="G16" s="43" t="b">
        <v>1</v>
      </c>
      <c r="H16" s="45">
        <f>IF(AND('Análise'!$G$7="Pago",'Lançamentos'!$G16=TRUE),'Lançamentos'!$F16,IF(AND('Análise'!$G$7="Em Aberto",'Lançamentos'!$G16=FALSE),'Lançamentos'!$F16,IF('Análise'!$G$7="Todos",'Lançamentos'!$F16,0)))</f>
        <v>1800</v>
      </c>
    </row>
    <row r="17">
      <c r="B17" s="26">
        <v>46188.0</v>
      </c>
      <c r="C17" s="27">
        <f>IF('Lançamentos'!$B17&lt;&gt;"",YEAR('Lançamentos'!$B17)*100+MONTH(B17),"")</f>
        <v>202606</v>
      </c>
      <c r="D17" s="30" t="s">
        <v>182</v>
      </c>
      <c r="E17" s="40" t="str">
        <f t="array" ref="E17">IFERROR(_xlfn.XLOOKUP('Lançamentos'!$D17,Planilha1!$B$2:$B$35,Planilha1!$C$2:$C$35),0)</f>
        <v>E</v>
      </c>
      <c r="F17" s="51">
        <v>2460.0</v>
      </c>
      <c r="G17" s="43" t="b">
        <v>1</v>
      </c>
      <c r="H17" s="45">
        <f>IF(AND('Análise'!$G$7="Pago",'Lançamentos'!$G17=TRUE),'Lançamentos'!$F17,IF(AND('Análise'!$G$7="Em Aberto",'Lançamentos'!$G17=FALSE),'Lançamentos'!$F17,IF('Análise'!$G$7="Todos",'Lançamentos'!$F17,0)))</f>
        <v>2460</v>
      </c>
    </row>
    <row r="18">
      <c r="B18" s="26">
        <v>46192.0</v>
      </c>
      <c r="C18" s="27">
        <f>IF('Lançamentos'!$B18&lt;&gt;"",YEAR('Lançamentos'!$B18)*100+MONTH(B18),"")</f>
        <v>202606</v>
      </c>
      <c r="D18" s="30" t="s">
        <v>53</v>
      </c>
      <c r="E18" s="40" t="str">
        <f t="array" ref="E18">IFERROR(_xlfn.XLOOKUP('Lançamentos'!$D18,Planilha1!$B$2:$B$35,Planilha1!$C$2:$C$35),0)</f>
        <v>E</v>
      </c>
      <c r="F18" s="51">
        <v>2500.0</v>
      </c>
      <c r="G18" s="43" t="b">
        <v>1</v>
      </c>
      <c r="H18" s="45">
        <f>IF(AND('Análise'!$G$7="Pago",'Lançamentos'!$G18=TRUE),'Lançamentos'!$F18,IF(AND('Análise'!$G$7="Em Aberto",'Lançamentos'!$G18=FALSE),'Lançamentos'!$F18,IF('Análise'!$G$7="Todos",'Lançamentos'!$F18,0)))</f>
        <v>2500</v>
      </c>
    </row>
    <row r="19">
      <c r="B19" s="26">
        <v>46183.0</v>
      </c>
      <c r="C19" s="27">
        <f>IF('Lançamentos'!$B19&lt;&gt;"",YEAR('Lançamentos'!$B19)*100+MONTH(B19),"")</f>
        <v>202606</v>
      </c>
      <c r="D19" s="30" t="s">
        <v>177</v>
      </c>
      <c r="E19" s="40" t="str">
        <f t="array" ref="E19">IFERROR(_xlfn.XLOOKUP('Lançamentos'!$D19,Planilha1!$B$2:$B$35,Planilha1!$C$2:$C$35),0)</f>
        <v>E</v>
      </c>
      <c r="F19" s="51">
        <v>6000.0</v>
      </c>
      <c r="G19" s="43" t="b">
        <v>1</v>
      </c>
      <c r="H19" s="45">
        <f>IF(AND('Análise'!$G$7="Pago",'Lançamentos'!$G19=TRUE),'Lançamentos'!$F19,IF(AND('Análise'!$G$7="Em Aberto",'Lançamentos'!$G19=FALSE),'Lançamentos'!$F19,IF('Análise'!$G$7="Todos",'Lançamentos'!$F19,0)))</f>
        <v>6000</v>
      </c>
    </row>
    <row r="20">
      <c r="B20" s="26">
        <v>46194.0</v>
      </c>
      <c r="C20" s="27">
        <f>IF('Lançamentos'!$B20&lt;&gt;"",YEAR('Lançamentos'!$B20)*100+MONTH(B20),"")</f>
        <v>202606</v>
      </c>
      <c r="D20" s="30" t="s">
        <v>187</v>
      </c>
      <c r="E20" s="40" t="str">
        <f t="array" ref="E20">IFERROR(_xlfn.XLOOKUP('Lançamentos'!$D20,Planilha1!$B$2:$B$35,Planilha1!$C$2:$C$35),0)</f>
        <v>E</v>
      </c>
      <c r="F20" s="51">
        <v>4600.0</v>
      </c>
      <c r="G20" s="43" t="b">
        <v>1</v>
      </c>
      <c r="H20" s="45">
        <f>IF(AND('Análise'!$G$7="Pago",'Lançamentos'!$G20=TRUE),'Lançamentos'!$F20,IF(AND('Análise'!$G$7="Em Aberto",'Lançamentos'!$G20=FALSE),'Lançamentos'!$F20,IF('Análise'!$G$7="Todos",'Lançamentos'!$F20,0)))</f>
        <v>4600</v>
      </c>
    </row>
    <row r="21" ht="15.75" customHeight="1">
      <c r="B21" s="26">
        <v>46181.0</v>
      </c>
      <c r="C21" s="27">
        <f>IF('Lançamentos'!$B21&lt;&gt;"",YEAR('Lançamentos'!$B21)*100+MONTH(B21),"")</f>
        <v>202606</v>
      </c>
      <c r="D21" s="30" t="s">
        <v>96</v>
      </c>
      <c r="E21" s="40" t="str">
        <f t="array" ref="E21">IFERROR(_xlfn.XLOOKUP('Lançamentos'!$D21,Planilha1!$B$2:$B$35,Planilha1!$C$2:$C$35),0)</f>
        <v>E</v>
      </c>
      <c r="F21" s="51">
        <v>1250.0</v>
      </c>
      <c r="G21" s="43" t="b">
        <v>0</v>
      </c>
      <c r="H21" s="45">
        <f>IF(AND('Análise'!$G$7="Pago",'Lançamentos'!$G21=TRUE),'Lançamentos'!$F21,IF(AND('Análise'!$G$7="Em Aberto",'Lançamentos'!$G21=FALSE),'Lançamentos'!$F21,IF('Análise'!$G$7="Todos",'Lançamentos'!$F21,0)))</f>
        <v>1250</v>
      </c>
    </row>
    <row r="22" ht="15.75" customHeight="1">
      <c r="B22" s="26">
        <v>46179.0</v>
      </c>
      <c r="C22" s="27">
        <f>IF('Lançamentos'!$B22&lt;&gt;"",YEAR('Lançamentos'!$B22)*100+MONTH(B22),"")</f>
        <v>202606</v>
      </c>
      <c r="D22" s="30" t="s">
        <v>96</v>
      </c>
      <c r="E22" s="40" t="str">
        <f t="array" ref="E22">IFERROR(_xlfn.XLOOKUP('Lançamentos'!$D22,Planilha1!$B$2:$B$35,Planilha1!$C$2:$C$35),0)</f>
        <v>E</v>
      </c>
      <c r="F22" s="51">
        <v>250.0</v>
      </c>
      <c r="G22" s="43" t="b">
        <v>1</v>
      </c>
      <c r="H22" s="45">
        <f>IF(AND('Análise'!$G$7="Pago",'Lançamentos'!$G22=TRUE),'Lançamentos'!$F22,IF(AND('Análise'!$G$7="Em Aberto",'Lançamentos'!$G22=FALSE),'Lançamentos'!$F22,IF('Análise'!$G$7="Todos",'Lançamentos'!$F22,0)))</f>
        <v>250</v>
      </c>
    </row>
    <row r="23" ht="15.75" customHeight="1">
      <c r="B23" s="26">
        <v>46179.0</v>
      </c>
      <c r="C23" s="27">
        <f>IF('Lançamentos'!$B23&lt;&gt;"",YEAR('Lançamentos'!$B23)*100+MONTH(B23),"")</f>
        <v>202606</v>
      </c>
      <c r="D23" s="30" t="s">
        <v>178</v>
      </c>
      <c r="E23" s="40" t="str">
        <f t="array" ref="E23">IFERROR(_xlfn.XLOOKUP('Lançamentos'!$D23,Planilha1!$B$2:$B$35,Planilha1!$C$2:$C$35),0)</f>
        <v>S</v>
      </c>
      <c r="F23" s="51">
        <v>200.0</v>
      </c>
      <c r="G23" s="43" t="b">
        <v>1</v>
      </c>
      <c r="H23" s="45">
        <f>IF(AND('Análise'!$G$7="Pago",'Lançamentos'!$G23=TRUE),'Lançamentos'!$F23,IF(AND('Análise'!$G$7="Em Aberto",'Lançamentos'!$G23=FALSE),'Lançamentos'!$F23,IF('Análise'!$G$7="Todos",'Lançamentos'!$F23,0)))</f>
        <v>200</v>
      </c>
    </row>
    <row r="24" ht="15.75" customHeight="1">
      <c r="B24" s="26">
        <v>46183.0</v>
      </c>
      <c r="C24" s="27">
        <f>IF('Lançamentos'!$B24&lt;&gt;"",YEAR('Lançamentos'!$B24)*100+MONTH(B24),"")</f>
        <v>202606</v>
      </c>
      <c r="D24" s="30" t="s">
        <v>189</v>
      </c>
      <c r="E24" s="40" t="str">
        <f t="array" ref="E24">IFERROR(_xlfn.XLOOKUP('Lançamentos'!$D24,Planilha1!$B$2:$B$35,Planilha1!$C$2:$C$35),0)</f>
        <v>E</v>
      </c>
      <c r="F24" s="51">
        <v>250.0</v>
      </c>
      <c r="G24" s="43" t="b">
        <v>1</v>
      </c>
      <c r="H24" s="45">
        <f>IF(AND('Análise'!$G$7="Pago",'Lançamentos'!$G24=TRUE),'Lançamentos'!$F24,IF(AND('Análise'!$G$7="Em Aberto",'Lançamentos'!$G24=FALSE),'Lançamentos'!$F24,IF('Análise'!$G$7="Todos",'Lançamentos'!$F24,0)))</f>
        <v>250</v>
      </c>
    </row>
    <row r="25" ht="15.75" customHeight="1">
      <c r="B25" s="26">
        <v>46190.0</v>
      </c>
      <c r="C25" s="27">
        <f>IF('Lançamentos'!$B25&lt;&gt;"",YEAR('Lançamentos'!$B25)*100+MONTH(B25),"")</f>
        <v>202606</v>
      </c>
      <c r="D25" s="30" t="s">
        <v>174</v>
      </c>
      <c r="E25" s="40" t="str">
        <f t="array" ref="E25">IFERROR(_xlfn.XLOOKUP('Lançamentos'!$D25,Planilha1!$B$2:$B$35,Planilha1!$C$2:$C$35),0)</f>
        <v>E</v>
      </c>
      <c r="F25" s="51">
        <v>1200.0</v>
      </c>
      <c r="G25" s="43" t="b">
        <v>1</v>
      </c>
      <c r="H25" s="45">
        <f>IF(AND('Análise'!$G$7="Pago",'Lançamentos'!$G25=TRUE),'Lançamentos'!$F25,IF(AND('Análise'!$G$7="Em Aberto",'Lançamentos'!$G25=FALSE),'Lançamentos'!$F25,IF('Análise'!$G$7="Todos",'Lançamentos'!$F25,0)))</f>
        <v>1200</v>
      </c>
    </row>
    <row r="26" ht="15.75" customHeight="1">
      <c r="B26" s="26">
        <v>46183.0</v>
      </c>
      <c r="C26" s="27">
        <f>IF('Lançamentos'!$B26&lt;&gt;"",YEAR('Lançamentos'!$B26)*100+MONTH(B26),"")</f>
        <v>202606</v>
      </c>
      <c r="D26" s="30" t="s">
        <v>175</v>
      </c>
      <c r="E26" s="40" t="str">
        <f t="array" ref="E26">IFERROR(_xlfn.XLOOKUP('Lançamentos'!$D26,Planilha1!$B$2:$B$35,Planilha1!$C$2:$C$35),0)</f>
        <v>S</v>
      </c>
      <c r="F26" s="51">
        <v>14000.0</v>
      </c>
      <c r="G26" s="43" t="b">
        <v>0</v>
      </c>
      <c r="H26" s="45">
        <f>IF(AND('Análise'!$G$7="Pago",'Lançamentos'!$G26=TRUE),'Lançamentos'!$F26,IF(AND('Análise'!$G$7="Em Aberto",'Lançamentos'!$G26=FALSE),'Lançamentos'!$F26,IF('Análise'!$G$7="Todos",'Lançamentos'!$F26,0)))</f>
        <v>14000</v>
      </c>
    </row>
    <row r="27" ht="15.75" customHeight="1">
      <c r="B27" s="26">
        <v>46191.0</v>
      </c>
      <c r="C27" s="27">
        <f>IF('Lançamentos'!$B27&lt;&gt;"",YEAR('Lançamentos'!$B27)*100+MONTH(B27),"")</f>
        <v>202606</v>
      </c>
      <c r="D27" s="30" t="s">
        <v>215</v>
      </c>
      <c r="E27" s="40">
        <f t="array" ref="E27">IFERROR(_xlfn.XLOOKUP('Lançamentos'!$D27,Planilha1!$B$2:$B$35,Planilha1!$C$2:$C$35),0)</f>
        <v>0</v>
      </c>
      <c r="F27" s="51">
        <v>44.0</v>
      </c>
      <c r="G27" s="43" t="b">
        <v>1</v>
      </c>
      <c r="H27" s="45">
        <f>IF(AND('Análise'!$G$7="Pago",'Lançamentos'!$G27=TRUE),'Lançamentos'!$F27,IF(AND('Análise'!$G$7="Em Aberto",'Lançamentos'!$G27=FALSE),'Lançamentos'!$F27,IF('Análise'!$G$7="Todos",'Lançamentos'!$F27,0)))</f>
        <v>44</v>
      </c>
    </row>
    <row r="28" ht="15.75" customHeight="1">
      <c r="B28" s="26">
        <v>46191.0</v>
      </c>
      <c r="C28" s="27">
        <f>IF('Lançamentos'!$B28&lt;&gt;"",YEAR('Lançamentos'!$B28)*100+MONTH(B28),"")</f>
        <v>202606</v>
      </c>
      <c r="D28" s="30" t="s">
        <v>215</v>
      </c>
      <c r="E28" s="40">
        <f t="array" ref="E28">IFERROR(_xlfn.XLOOKUP('Lançamentos'!$D28,Planilha1!$B$2:$B$35,Planilha1!$C$2:$C$35),0)</f>
        <v>0</v>
      </c>
      <c r="F28" s="51">
        <v>100.0</v>
      </c>
      <c r="G28" s="43" t="b">
        <v>1</v>
      </c>
      <c r="H28" s="45">
        <f>IF(AND('Análise'!$G$7="Pago",'Lançamentos'!$G28=TRUE),'Lançamentos'!$F28,IF(AND('Análise'!$G$7="Em Aberto",'Lançamentos'!$G28=FALSE),'Lançamentos'!$F28,IF('Análise'!$G$7="Todos",'Lançamentos'!$F28,0)))</f>
        <v>100</v>
      </c>
    </row>
    <row r="29" ht="15.75" customHeight="1">
      <c r="B29" s="26">
        <v>46192.0</v>
      </c>
      <c r="C29" s="27">
        <f>IF('Lançamentos'!$B29&lt;&gt;"",YEAR('Lançamentos'!$B29)*100+MONTH(B29),"")</f>
        <v>202606</v>
      </c>
      <c r="D29" s="30" t="s">
        <v>192</v>
      </c>
      <c r="E29" s="40" t="str">
        <f t="array" ref="E29">IFERROR(_xlfn.XLOOKUP('Lançamentos'!$D29,Planilha1!$B$2:$B$35,Planilha1!$C$2:$C$35),0)</f>
        <v>S</v>
      </c>
      <c r="F29" s="51">
        <v>480.7</v>
      </c>
      <c r="G29" s="43" t="b">
        <v>1</v>
      </c>
      <c r="H29" s="45">
        <f>IF(AND('Análise'!$G$7="Pago",'Lançamentos'!$G29=TRUE),'Lançamentos'!$F29,IF(AND('Análise'!$G$7="Em Aberto",'Lançamentos'!$G29=FALSE),'Lançamentos'!$F29,IF('Análise'!$G$7="Todos",'Lançamentos'!$F29,0)))</f>
        <v>480.7</v>
      </c>
    </row>
    <row r="30" ht="15.75" customHeight="1">
      <c r="B30" s="26">
        <v>46195.0</v>
      </c>
      <c r="C30" s="27">
        <f>IF('Lançamentos'!$B30&lt;&gt;"",YEAR('Lançamentos'!$B30)*100+MONTH(B30),"")</f>
        <v>202606</v>
      </c>
      <c r="D30" s="30" t="s">
        <v>181</v>
      </c>
      <c r="E30" s="40" t="str">
        <f t="array" ref="E30">IFERROR(_xlfn.XLOOKUP('Lançamentos'!$D30,Planilha1!$B$2:$B$35,Planilha1!$C$2:$C$35),0)</f>
        <v>S</v>
      </c>
      <c r="F30" s="51">
        <v>1750.0</v>
      </c>
      <c r="G30" s="43" t="b">
        <v>1</v>
      </c>
      <c r="H30" s="45">
        <f>IF(AND('Análise'!$G$7="Pago",'Lançamentos'!$G30=TRUE),'Lançamentos'!$F30,IF(AND('Análise'!$G$7="Em Aberto",'Lançamentos'!$G30=FALSE),'Lançamentos'!$F30,IF('Análise'!$G$7="Todos",'Lançamentos'!$F30,0)))</f>
        <v>1750</v>
      </c>
    </row>
    <row r="31" ht="15.75" customHeight="1">
      <c r="B31" s="26">
        <v>46195.0</v>
      </c>
      <c r="C31" s="27">
        <f>IF('Lançamentos'!$B31&lt;&gt;"",YEAR('Lançamentos'!$B31)*100+MONTH(B31),"")</f>
        <v>202606</v>
      </c>
      <c r="D31" s="30" t="s">
        <v>181</v>
      </c>
      <c r="E31" s="40" t="str">
        <f t="array" ref="E31">IFERROR(_xlfn.XLOOKUP('Lançamentos'!$D31,Planilha1!$B$2:$B$35,Planilha1!$C$2:$C$35),0)</f>
        <v>S</v>
      </c>
      <c r="F31" s="51">
        <v>1301.63</v>
      </c>
      <c r="G31" s="43" t="b">
        <v>1</v>
      </c>
      <c r="H31" s="45">
        <f>IF(AND('Análise'!$G$7="Pago",'Lançamentos'!$G31=TRUE),'Lançamentos'!$F31,IF(AND('Análise'!$G$7="Em Aberto",'Lançamentos'!$G31=FALSE),'Lançamentos'!$F31,IF('Análise'!$G$7="Todos",'Lançamentos'!$F31,0)))</f>
        <v>1301.63</v>
      </c>
    </row>
    <row r="32" ht="15.75" customHeight="1">
      <c r="B32" s="26">
        <v>46195.0</v>
      </c>
      <c r="C32" s="27">
        <f>IF('Lançamentos'!$B32&lt;&gt;"",YEAR('Lançamentos'!$B32)*100+MONTH(B32),"")</f>
        <v>202606</v>
      </c>
      <c r="D32" s="30" t="s">
        <v>181</v>
      </c>
      <c r="E32" s="40" t="str">
        <f t="array" ref="E32">IFERROR(_xlfn.XLOOKUP('Lançamentos'!$D32,Planilha1!$B$2:$B$35,Planilha1!$C$2:$C$35),0)</f>
        <v>S</v>
      </c>
      <c r="F32" s="51">
        <v>1268.55</v>
      </c>
      <c r="G32" s="43" t="b">
        <v>1</v>
      </c>
      <c r="H32" s="45">
        <f>IF(AND('Análise'!$G$7="Pago",'Lançamentos'!$G32=TRUE),'Lançamentos'!$F32,IF(AND('Análise'!$G$7="Em Aberto",'Lançamentos'!$G32=FALSE),'Lançamentos'!$F32,IF('Análise'!$G$7="Todos",'Lançamentos'!$F32,0)))</f>
        <v>1268.55</v>
      </c>
    </row>
    <row r="33" ht="15.75" customHeight="1">
      <c r="B33" s="26">
        <v>46195.0</v>
      </c>
      <c r="C33" s="27">
        <f>IF('Lançamentos'!$B33&lt;&gt;"",YEAR('Lançamentos'!$B33)*100+MONTH(B33),"")</f>
        <v>202606</v>
      </c>
      <c r="D33" s="30" t="s">
        <v>199</v>
      </c>
      <c r="E33" s="40" t="str">
        <f t="array" ref="E33">IFERROR(_xlfn.XLOOKUP('Lançamentos'!$D33,Planilha1!$B$2:$B$35,Planilha1!$C$2:$C$35),0)</f>
        <v>S</v>
      </c>
      <c r="F33" s="51">
        <v>87.0</v>
      </c>
      <c r="G33" s="43" t="b">
        <v>1</v>
      </c>
      <c r="H33" s="45">
        <f>IF(AND('Análise'!$G$7="Pago",'Lançamentos'!$G33=TRUE),'Lançamentos'!$F33,IF(AND('Análise'!$G$7="Em Aberto",'Lançamentos'!$G33=FALSE),'Lançamentos'!$F33,IF('Análise'!$G$7="Todos",'Lançamentos'!$F33,0)))</f>
        <v>87</v>
      </c>
    </row>
    <row r="34" ht="15.75" customHeight="1">
      <c r="B34" s="26">
        <v>46197.0</v>
      </c>
      <c r="C34" s="27">
        <f>IF('Lançamentos'!$B34&lt;&gt;"",YEAR('Lançamentos'!$B34)*100+MONTH(B34),"")</f>
        <v>202606</v>
      </c>
      <c r="D34" s="30" t="s">
        <v>194</v>
      </c>
      <c r="E34" s="40" t="str">
        <f t="array" ref="E34">IFERROR(_xlfn.XLOOKUP('Lançamentos'!$D34,Planilha1!$B$2:$B$35,Planilha1!$C$2:$C$35),0)</f>
        <v>S</v>
      </c>
      <c r="F34" s="51">
        <v>160.0</v>
      </c>
      <c r="G34" s="43" t="b">
        <v>1</v>
      </c>
      <c r="H34" s="45">
        <f>IF(AND('Análise'!$G$7="Pago",'Lançamentos'!$G34=TRUE),'Lançamentos'!$F34,IF(AND('Análise'!$G$7="Em Aberto",'Lançamentos'!$G34=FALSE),'Lançamentos'!$F34,IF('Análise'!$G$7="Todos",'Lançamentos'!$F34,0)))</f>
        <v>160</v>
      </c>
    </row>
    <row r="35" ht="15.75" customHeight="1">
      <c r="B35" s="26">
        <v>46198.0</v>
      </c>
      <c r="C35" s="27">
        <f>IF('Lançamentos'!$B35&lt;&gt;"",YEAR('Lançamentos'!$B35)*100+MONTH(B35),"")</f>
        <v>202606</v>
      </c>
      <c r="D35" s="30" t="s">
        <v>192</v>
      </c>
      <c r="E35" s="40" t="str">
        <f t="array" ref="E35">IFERROR(_xlfn.XLOOKUP('Lançamentos'!$D35,Planilha1!$B$2:$B$35,Planilha1!$C$2:$C$35),0)</f>
        <v>S</v>
      </c>
      <c r="F35" s="51">
        <v>627.87</v>
      </c>
      <c r="G35" s="43" t="b">
        <v>1</v>
      </c>
      <c r="H35" s="45">
        <f>IF(AND('Análise'!$G$7="Pago",'Lançamentos'!$G35=TRUE),'Lançamentos'!$F35,IF(AND('Análise'!$G$7="Em Aberto",'Lançamentos'!$G35=FALSE),'Lançamentos'!$F35,IF('Análise'!$G$7="Todos",'Lançamentos'!$F35,0)))</f>
        <v>627.87</v>
      </c>
    </row>
    <row r="36" ht="15.75" customHeight="1">
      <c r="B36" s="26">
        <v>46198.0</v>
      </c>
      <c r="C36" s="27">
        <f>IF('Lançamentos'!$B36&lt;&gt;"",YEAR('Lançamentos'!$B36)*100+MONTH(B36),"")</f>
        <v>202606</v>
      </c>
      <c r="D36" s="30" t="s">
        <v>192</v>
      </c>
      <c r="E36" s="40" t="str">
        <f t="array" ref="E36">IFERROR(_xlfn.XLOOKUP('Lançamentos'!$D36,Planilha1!$B$2:$B$35,Planilha1!$C$2:$C$35),0)</f>
        <v>S</v>
      </c>
      <c r="F36" s="51">
        <v>565.44</v>
      </c>
      <c r="G36" s="43" t="b">
        <v>1</v>
      </c>
      <c r="H36" s="45">
        <f>IF(AND('Análise'!$G$7="Pago",'Lançamentos'!$G36=TRUE),'Lançamentos'!$F36,IF(AND('Análise'!$G$7="Em Aberto",'Lançamentos'!$G36=FALSE),'Lançamentos'!$F36,IF('Análise'!$G$7="Todos",'Lançamentos'!$F36,0)))</f>
        <v>565.44</v>
      </c>
    </row>
    <row r="37" ht="15.75" customHeight="1">
      <c r="B37" s="26">
        <v>46174.0</v>
      </c>
      <c r="C37" s="27">
        <f>IF('Lançamentos'!$B37&lt;&gt;"",YEAR('Lançamentos'!$B37)*100+MONTH(B37),"")</f>
        <v>202606</v>
      </c>
      <c r="D37" s="30" t="s">
        <v>102</v>
      </c>
      <c r="E37" s="40" t="str">
        <f t="array" ref="E37">IFERROR(_xlfn.XLOOKUP('Lançamentos'!$D37,Planilha1!$B$2:$B$35,Planilha1!$C$2:$C$35),0)</f>
        <v>E</v>
      </c>
      <c r="F37" s="51">
        <v>2500.0</v>
      </c>
      <c r="G37" s="43" t="b">
        <v>1</v>
      </c>
      <c r="H37" s="45">
        <f>IF(AND('Análise'!$G$7="Pago",'Lançamentos'!$G37=TRUE),'Lançamentos'!$F37,IF(AND('Análise'!$G$7="Em Aberto",'Lançamentos'!$G37=FALSE),'Lançamentos'!$F37,IF('Análise'!$G$7="Todos",'Lançamentos'!$F37,0)))</f>
        <v>2500</v>
      </c>
    </row>
    <row r="38" ht="15.75" customHeight="1">
      <c r="B38" s="26">
        <v>46150.0</v>
      </c>
      <c r="C38" s="27">
        <f>IF('Lançamentos'!$B38&lt;&gt;"",YEAR('Lançamentos'!$B38)*100+MONTH(B38),"")</f>
        <v>202605</v>
      </c>
      <c r="D38" s="30" t="s">
        <v>142</v>
      </c>
      <c r="E38" s="40" t="str">
        <f t="array" ref="E38">IFERROR(_xlfn.XLOOKUP('Lançamentos'!$D38,Planilha1!$B$2:$B$35,Planilha1!$C$2:$C$35),0)</f>
        <v>E</v>
      </c>
      <c r="F38" s="51">
        <v>1066.0</v>
      </c>
      <c r="G38" s="43" t="b">
        <v>1</v>
      </c>
      <c r="H38" s="45">
        <f>IF(AND('Análise'!$G$7="Pago",'Lançamentos'!$G38=TRUE),'Lançamentos'!$F38,IF(AND('Análise'!$G$7="Em Aberto",'Lançamentos'!$G38=FALSE),'Lançamentos'!$F38,IF('Análise'!$G$7="Todos",'Lançamentos'!$F38,0)))</f>
        <v>1066</v>
      </c>
    </row>
    <row r="39" ht="15.75" customHeight="1">
      <c r="B39" s="26">
        <v>46170.0</v>
      </c>
      <c r="C39" s="27">
        <f>IF('Lançamentos'!$B39&lt;&gt;"",YEAR('Lançamentos'!$B39)*100+MONTH(B39),"")</f>
        <v>202605</v>
      </c>
      <c r="D39" s="30" t="s">
        <v>186</v>
      </c>
      <c r="E39" s="40" t="str">
        <f t="array" ref="E39">IFERROR(_xlfn.XLOOKUP('Lançamentos'!$D39,Planilha1!$B$2:$B$35,Planilha1!$C$2:$C$35),0)</f>
        <v>E</v>
      </c>
      <c r="F39" s="51">
        <v>1800.0</v>
      </c>
      <c r="G39" s="43" t="b">
        <v>1</v>
      </c>
      <c r="H39" s="45">
        <f>IF(AND('Análise'!$G$7="Pago",'Lançamentos'!$G39=TRUE),'Lançamentos'!$F39,IF(AND('Análise'!$G$7="Em Aberto",'Lançamentos'!$G39=FALSE),'Lançamentos'!$F39,IF('Análise'!$G$7="Todos",'Lançamentos'!$F39,0)))</f>
        <v>1800</v>
      </c>
    </row>
    <row r="40" ht="15.75" customHeight="1">
      <c r="B40" s="26">
        <v>46170.0</v>
      </c>
      <c r="C40" s="27">
        <f>IF('Lançamentos'!$B40&lt;&gt;"",YEAR('Lançamentos'!$B40)*100+MONTH(B40),"")</f>
        <v>202605</v>
      </c>
      <c r="D40" s="30" t="s">
        <v>184</v>
      </c>
      <c r="E40" s="40" t="str">
        <f t="array" ref="E40">IFERROR(_xlfn.XLOOKUP('Lançamentos'!$D40,Planilha1!$B$2:$B$35,Planilha1!$C$2:$C$35),0)</f>
        <v>E</v>
      </c>
      <c r="F40" s="51">
        <v>1800.0</v>
      </c>
      <c r="G40" s="43" t="b">
        <v>1</v>
      </c>
      <c r="H40" s="45">
        <f>IF(AND('Análise'!$G$7="Pago",'Lançamentos'!$G40=TRUE),'Lançamentos'!$F40,IF(AND('Análise'!$G$7="Em Aberto",'Lançamentos'!$G40=FALSE),'Lançamentos'!$F40,IF('Análise'!$G$7="Todos",'Lançamentos'!$F40,0)))</f>
        <v>1800</v>
      </c>
    </row>
    <row r="41" ht="15.75" customHeight="1">
      <c r="B41" s="26">
        <v>46162.0</v>
      </c>
      <c r="C41" s="27">
        <f>IF('Lançamentos'!$B41&lt;&gt;"",YEAR('Lançamentos'!$B41)*100+MONTH(B41),"")</f>
        <v>202605</v>
      </c>
      <c r="D41" s="30" t="s">
        <v>53</v>
      </c>
      <c r="E41" s="40" t="str">
        <f t="array" ref="E41">IFERROR(_xlfn.XLOOKUP('Lançamentos'!$D41,Planilha1!$B$2:$B$35,Planilha1!$C$2:$C$35),0)</f>
        <v>E</v>
      </c>
      <c r="F41" s="51">
        <v>2500.0</v>
      </c>
      <c r="G41" s="43" t="b">
        <v>1</v>
      </c>
      <c r="H41" s="45">
        <f>IF(AND('Análise'!$G$7="Pago",'Lançamentos'!$G41=TRUE),'Lançamentos'!$F41,IF(AND('Análise'!$G$7="Em Aberto",'Lançamentos'!$G41=FALSE),'Lançamentos'!$F41,IF('Análise'!$G$7="Todos",'Lançamentos'!$F41,0)))</f>
        <v>2500</v>
      </c>
    </row>
    <row r="42" ht="15.75" customHeight="1">
      <c r="B42" s="26">
        <v>46206.0</v>
      </c>
      <c r="C42" s="27">
        <f>IF('Lançamentos'!$B42&lt;&gt;"",YEAR('Lançamentos'!$B42)*100+MONTH(B42),"")</f>
        <v>202607</v>
      </c>
      <c r="D42" s="30" t="s">
        <v>178</v>
      </c>
      <c r="E42" s="40" t="str">
        <f t="array" ref="E42">IFERROR(_xlfn.XLOOKUP('Lançamentos'!$D42,Planilha1!$B$2:$B$35,Planilha1!$C$2:$C$35),0)</f>
        <v>S</v>
      </c>
      <c r="F42" s="51">
        <v>790.0</v>
      </c>
      <c r="G42" s="43" t="b">
        <v>0</v>
      </c>
      <c r="H42" s="45">
        <f>IF(AND('Análise'!$G$7="Pago",'Lançamentos'!$G42=TRUE),'Lançamentos'!$F42,IF(AND('Análise'!$G$7="Em Aberto",'Lançamentos'!$G42=FALSE),'Lançamentos'!$F42,IF('Análise'!$G$7="Todos",'Lançamentos'!$F42,0)))</f>
        <v>790</v>
      </c>
    </row>
    <row r="43" ht="15.75" customHeight="1">
      <c r="B43" s="26">
        <v>46206.0</v>
      </c>
      <c r="C43" s="27">
        <f>IF('Lançamentos'!$B43&lt;&gt;"",YEAR('Lançamentos'!$B43)*100+MONTH(B43),"")</f>
        <v>202607</v>
      </c>
      <c r="D43" s="30" t="s">
        <v>216</v>
      </c>
      <c r="E43" s="40">
        <f t="array" ref="E43">IFERROR(_xlfn.XLOOKUP('Lançamentos'!$D43,Planilha1!$B$2:$B$35,Planilha1!$C$2:$C$35),0)</f>
        <v>0</v>
      </c>
      <c r="F43" s="51">
        <v>0.0</v>
      </c>
      <c r="G43" s="43" t="b">
        <v>0</v>
      </c>
      <c r="H43" s="45">
        <f>IF(AND('Análise'!$G$7="Pago",'Lançamentos'!$G43=TRUE),'Lançamentos'!$F43,IF(AND('Análise'!$G$7="Em Aberto",'Lançamentos'!$G43=FALSE),'Lançamentos'!$F43,IF('Análise'!$G$7="Todos",'Lançamentos'!$F43,0)))</f>
        <v>0</v>
      </c>
    </row>
    <row r="44" ht="15.75" customHeight="1">
      <c r="B44" s="26">
        <v>46209.0</v>
      </c>
      <c r="C44" s="27">
        <f>IF('Lançamentos'!$B44&lt;&gt;"",YEAR('Lançamentos'!$B44)*100+MONTH(B44),"")</f>
        <v>202607</v>
      </c>
      <c r="D44" s="30" t="s">
        <v>177</v>
      </c>
      <c r="E44" s="40" t="str">
        <f t="array" ref="E44">IFERROR(_xlfn.XLOOKUP('Lançamentos'!$D44,Planilha1!$B$2:$B$35,Planilha1!$C$2:$C$35),0)</f>
        <v>E</v>
      </c>
      <c r="F44" s="51">
        <v>5500.0</v>
      </c>
      <c r="G44" s="43" t="b">
        <v>0</v>
      </c>
      <c r="H44" s="45">
        <f>IF(AND('Análise'!$G$7="Pago",'Lançamentos'!$G44=TRUE),'Lançamentos'!$F44,IF(AND('Análise'!$G$7="Em Aberto",'Lançamentos'!$G44=FALSE),'Lançamentos'!$F44,IF('Análise'!$G$7="Todos",'Lançamentos'!$F44,0)))</f>
        <v>5500</v>
      </c>
    </row>
    <row r="45" ht="15.75" customHeight="1">
      <c r="B45" s="26">
        <v>46209.0</v>
      </c>
      <c r="C45" s="27">
        <f>IF('Lançamentos'!$B45&lt;&gt;"",YEAR('Lançamentos'!$B45)*100+MONTH(B45),"")</f>
        <v>202607</v>
      </c>
      <c r="D45" s="30" t="s">
        <v>175</v>
      </c>
      <c r="E45" s="40" t="str">
        <f t="array" ref="E45">IFERROR(_xlfn.XLOOKUP('Lançamentos'!$D45,Planilha1!$B$2:$B$35,Planilha1!$C$2:$C$35),0)</f>
        <v>S</v>
      </c>
      <c r="F45" s="42">
        <v>7000.0</v>
      </c>
      <c r="G45" s="43" t="b">
        <v>0</v>
      </c>
      <c r="H45" s="45">
        <f>IF(AND('Análise'!$G$7="Pago",'Lançamentos'!$G45=TRUE),'Lançamentos'!$F45,IF(AND('Análise'!$G$7="Em Aberto",'Lançamentos'!$G45=FALSE),'Lançamentos'!$F45,IF('Análise'!$G$7="Todos",'Lançamentos'!$F45,0)))</f>
        <v>7000</v>
      </c>
    </row>
    <row r="46" ht="15.75" customHeight="1">
      <c r="B46" s="26">
        <v>46209.0</v>
      </c>
      <c r="C46" s="27">
        <f>IF('Lançamentos'!$B46&lt;&gt;"",YEAR('Lançamentos'!$B46)*100+MONTH(B46),"")</f>
        <v>202607</v>
      </c>
      <c r="D46" s="30" t="s">
        <v>175</v>
      </c>
      <c r="E46" s="40" t="str">
        <f t="array" ref="E46">IFERROR(_xlfn.XLOOKUP('Lançamentos'!$D46,Planilha1!$B$2:$B$35,Planilha1!$C$2:$C$35),0)</f>
        <v>S</v>
      </c>
      <c r="F46" s="42">
        <v>7000.0</v>
      </c>
      <c r="G46" s="43" t="b">
        <v>0</v>
      </c>
      <c r="H46" s="45">
        <f>IF(AND('Análise'!$G$7="Pago",'Lançamentos'!$G46=TRUE),'Lançamentos'!$F46,IF(AND('Análise'!$G$7="Em Aberto",'Lançamentos'!$G46=FALSE),'Lançamentos'!$F46,IF('Análise'!$G$7="Todos",'Lançamentos'!$F46,0)))</f>
        <v>7000</v>
      </c>
    </row>
    <row r="47" ht="15.75" customHeight="1">
      <c r="B47" s="26">
        <v>46210.0</v>
      </c>
      <c r="C47" s="27">
        <f>IF('Lançamentos'!$B47&lt;&gt;"",YEAR('Lançamentos'!$B47)*100+MONTH(B47),"")</f>
        <v>202607</v>
      </c>
      <c r="D47" s="30" t="s">
        <v>174</v>
      </c>
      <c r="E47" s="40" t="str">
        <f t="array" ref="E47">IFERROR(_xlfn.XLOOKUP('Lançamentos'!$D47,Planilha1!$B$2:$B$35,Planilha1!$C$2:$C$35),0)</f>
        <v>E</v>
      </c>
      <c r="F47" s="51">
        <v>1200.0</v>
      </c>
      <c r="G47" s="43" t="b">
        <v>0</v>
      </c>
      <c r="H47" s="45">
        <f>IF(AND('Análise'!$G$7="Pago",'Lançamentos'!$G47=TRUE),'Lançamentos'!$F47,IF(AND('Análise'!$G$7="Em Aberto",'Lançamentos'!$G47=FALSE),'Lançamentos'!$F47,IF('Análise'!$G$7="Todos",'Lançamentos'!$F47,0)))</f>
        <v>1200</v>
      </c>
    </row>
    <row r="48" ht="15.75" customHeight="1">
      <c r="B48" s="26">
        <v>46216.0</v>
      </c>
      <c r="C48" s="27">
        <f>IF('Lançamentos'!$B48&lt;&gt;"",YEAR('Lançamentos'!$B48)*100+MONTH(B48),"")</f>
        <v>202607</v>
      </c>
      <c r="D48" s="30" t="s">
        <v>96</v>
      </c>
      <c r="E48" s="40" t="str">
        <f t="array" ref="E48">IFERROR(_xlfn.XLOOKUP('Lançamentos'!$D48,Planilha1!$B$2:$B$35,Planilha1!$C$2:$C$35),0)</f>
        <v>E</v>
      </c>
      <c r="F48" s="51">
        <v>150.0</v>
      </c>
      <c r="G48" s="43" t="b">
        <v>0</v>
      </c>
      <c r="H48" s="45">
        <f>IF(AND('Análise'!$G$7="Pago",'Lançamentos'!$G48=TRUE),'Lançamentos'!$F48,IF(AND('Análise'!$G$7="Em Aberto",'Lançamentos'!$G48=FALSE),'Lançamentos'!$F48,IF('Análise'!$G$7="Todos",'Lançamentos'!$F48,0)))</f>
        <v>150</v>
      </c>
    </row>
    <row r="49" ht="15.75" customHeight="1">
      <c r="B49" s="26">
        <v>46216.0</v>
      </c>
      <c r="C49" s="27">
        <f>IF('Lançamentos'!$B49&lt;&gt;"",YEAR('Lançamentos'!$B49)*100+MONTH(B49),"")</f>
        <v>202607</v>
      </c>
      <c r="D49" s="30" t="s">
        <v>217</v>
      </c>
      <c r="E49" s="40">
        <f t="array" ref="E49">IFERROR(_xlfn.XLOOKUP('Lançamentos'!$D49,Planilha1!$B$2:$B$35,Planilha1!$C$2:$C$35),0)</f>
        <v>0</v>
      </c>
      <c r="F49" s="42">
        <v>80.0</v>
      </c>
      <c r="G49" s="43" t="b">
        <v>0</v>
      </c>
      <c r="H49" s="45">
        <f>IF(AND('Análise'!$G$7="Pago",'Lançamentos'!$G49=TRUE),'Lançamentos'!$F49,IF(AND('Análise'!$G$7="Em Aberto",'Lançamentos'!$G49=FALSE),'Lançamentos'!$F49,IF('Análise'!$G$7="Todos",'Lançamentos'!$F49,0)))</f>
        <v>80</v>
      </c>
    </row>
    <row r="50" ht="15.75" customHeight="1">
      <c r="B50" s="26">
        <v>46211.0</v>
      </c>
      <c r="C50" s="27">
        <f>IF('Lançamentos'!$B50&lt;&gt;"",YEAR('Lançamentos'!$B50)*100+MONTH(B50),"")</f>
        <v>202607</v>
      </c>
      <c r="D50" s="30" t="s">
        <v>182</v>
      </c>
      <c r="E50" s="40" t="str">
        <f t="array" ref="E50">IFERROR(_xlfn.XLOOKUP('Lançamentos'!$D50,Planilha1!$B$2:$B$35,Planilha1!$C$2:$C$35),0)</f>
        <v>E</v>
      </c>
      <c r="F50" s="51">
        <v>1050.0</v>
      </c>
      <c r="G50" s="43" t="b">
        <v>0</v>
      </c>
      <c r="H50" s="45">
        <f>IF(AND('Análise'!$G$7="Pago",'Lançamentos'!$G50=TRUE),'Lançamentos'!$F50,IF(AND('Análise'!$G$7="Em Aberto",'Lançamentos'!$G50=FALSE),'Lançamentos'!$F50,IF('Análise'!$G$7="Todos",'Lançamentos'!$F50,0)))</f>
        <v>1050</v>
      </c>
    </row>
    <row r="51" ht="15.75" customHeight="1">
      <c r="B51" s="26">
        <v>46217.0</v>
      </c>
      <c r="C51" s="27">
        <f>IF('Lançamentos'!$B51&lt;&gt;"",YEAR('Lançamentos'!$B51)*100+MONTH(B51),"")</f>
        <v>202607</v>
      </c>
      <c r="D51" s="30" t="s">
        <v>187</v>
      </c>
      <c r="E51" s="40" t="str">
        <f t="array" ref="E51">IFERROR(_xlfn.XLOOKUP('Lançamentos'!$D51,Planilha1!$B$2:$B$35,Planilha1!$C$2:$C$35),0)</f>
        <v>E</v>
      </c>
      <c r="F51" s="51">
        <v>4600.0</v>
      </c>
      <c r="G51" s="43" t="b">
        <v>0</v>
      </c>
      <c r="H51" s="45">
        <f>IF(AND('Análise'!$G$7="Pago",'Lançamentos'!$G51=TRUE),'Lançamentos'!$F51,IF(AND('Análise'!$G$7="Em Aberto",'Lançamentos'!$G51=FALSE),'Lançamentos'!$F51,IF('Análise'!$G$7="Todos",'Lançamentos'!$F51,0)))</f>
        <v>4600</v>
      </c>
    </row>
    <row r="52" ht="15.75" customHeight="1">
      <c r="B52" s="26">
        <v>46220.0</v>
      </c>
      <c r="C52" s="27">
        <f>IF('Lançamentos'!$B52&lt;&gt;"",YEAR('Lançamentos'!$B52)*100+MONTH(B52),"")</f>
        <v>202607</v>
      </c>
      <c r="D52" s="30" t="s">
        <v>175</v>
      </c>
      <c r="E52" s="40" t="str">
        <f t="array" ref="E52">IFERROR(_xlfn.XLOOKUP('Lançamentos'!$D52,Planilha1!$B$2:$B$35,Planilha1!$C$2:$C$35),0)</f>
        <v>S</v>
      </c>
      <c r="F52" s="42">
        <v>150.0</v>
      </c>
      <c r="G52" s="43" t="b">
        <v>0</v>
      </c>
      <c r="H52" s="45">
        <f>IF(AND('Análise'!$G$7="Pago",'Lançamentos'!$G52=TRUE),'Lançamentos'!$F52,IF(AND('Análise'!$G$7="Em Aberto",'Lançamentos'!$G52=FALSE),'Lançamentos'!$F52,IF('Análise'!$G$7="Todos",'Lançamentos'!$F52,0)))</f>
        <v>150</v>
      </c>
    </row>
    <row r="53" ht="15.75" customHeight="1">
      <c r="B53" s="26">
        <v>46220.0</v>
      </c>
      <c r="C53" s="27">
        <f>IF('Lançamentos'!$B53&lt;&gt;"",YEAR('Lançamentos'!$B53)*100+MONTH(B53),"")</f>
        <v>202607</v>
      </c>
      <c r="D53" s="30" t="s">
        <v>96</v>
      </c>
      <c r="E53" s="40" t="str">
        <f t="array" ref="E53">IFERROR(_xlfn.XLOOKUP('Lançamentos'!$D53,Planilha1!$B$2:$B$35,Planilha1!$C$2:$C$35),0)</f>
        <v>E</v>
      </c>
      <c r="F53" s="51">
        <v>1250.0</v>
      </c>
      <c r="G53" s="43" t="b">
        <v>0</v>
      </c>
      <c r="H53" s="45">
        <f>IF(AND('Análise'!$G$7="Pago",'Lançamentos'!$G53=TRUE),'Lançamentos'!$F53,IF(AND('Análise'!$G$7="Em Aberto",'Lançamentos'!$G53=FALSE),'Lançamentos'!$F53,IF('Análise'!$G$7="Todos",'Lançamentos'!$F53,0)))</f>
        <v>1250</v>
      </c>
    </row>
    <row r="54" ht="15.75" customHeight="1">
      <c r="B54" s="26">
        <v>46222.0</v>
      </c>
      <c r="C54" s="27">
        <f>IF('Lançamentos'!$B54&lt;&gt;"",YEAR('Lançamentos'!$B54)*100+MONTH(B54),"")</f>
        <v>202607</v>
      </c>
      <c r="D54" s="30" t="s">
        <v>192</v>
      </c>
      <c r="E54" s="40" t="str">
        <f t="array" ref="E54">IFERROR(_xlfn.XLOOKUP('Lançamentos'!$D54,Planilha1!$B$2:$B$35,Planilha1!$C$2:$C$35),0)</f>
        <v>S</v>
      </c>
      <c r="F54" s="42">
        <v>509.51</v>
      </c>
      <c r="G54" s="43" t="b">
        <v>0</v>
      </c>
      <c r="H54" s="45">
        <f>IF(AND('Análise'!$G$7="Pago",'Lançamentos'!$G54=TRUE),'Lançamentos'!$F54,IF(AND('Análise'!$G$7="Em Aberto",'Lançamentos'!$G54=FALSE),'Lançamentos'!$F54,IF('Análise'!$G$7="Todos",'Lançamentos'!$F54,0)))</f>
        <v>509.51</v>
      </c>
    </row>
    <row r="55" ht="15.75" customHeight="1">
      <c r="B55" s="26">
        <v>46223.0</v>
      </c>
      <c r="C55" s="27">
        <f>IF('Lançamentos'!$B55&lt;&gt;"",YEAR('Lançamentos'!$B55)*100+MONTH(B55),"")</f>
        <v>202607</v>
      </c>
      <c r="D55" s="30" t="s">
        <v>199</v>
      </c>
      <c r="E55" s="40" t="str">
        <f t="array" ref="E55">IFERROR(_xlfn.XLOOKUP('Lançamentos'!$D55,Planilha1!$B$2:$B$35,Planilha1!$C$2:$C$35),0)</f>
        <v>S</v>
      </c>
      <c r="F55" s="42">
        <v>87.0</v>
      </c>
      <c r="G55" s="43" t="b">
        <v>0</v>
      </c>
      <c r="H55" s="45">
        <f>IF(AND('Análise'!$G$7="Pago",'Lançamentos'!$G55=TRUE),'Lançamentos'!$F55,IF(AND('Análise'!$G$7="Em Aberto",'Lançamentos'!$G55=FALSE),'Lançamentos'!$F55,IF('Análise'!$G$7="Todos",'Lançamentos'!$F55,0)))</f>
        <v>87</v>
      </c>
    </row>
    <row r="56" ht="15.75" customHeight="1">
      <c r="B56" s="26">
        <v>46223.0</v>
      </c>
      <c r="C56" s="27">
        <f>IF('Lançamentos'!$B56&lt;&gt;"",YEAR('Lançamentos'!$B56)*100+MONTH(B56),"")</f>
        <v>202607</v>
      </c>
      <c r="D56" s="30" t="s">
        <v>202</v>
      </c>
      <c r="E56" s="40" t="str">
        <f t="array" ref="E56">IFERROR(_xlfn.XLOOKUP('Lançamentos'!$D56,Planilha1!$B$2:$B$35,Planilha1!$C$2:$C$35),0)</f>
        <v>S</v>
      </c>
      <c r="F56" s="42">
        <v>86.05</v>
      </c>
      <c r="G56" s="43" t="b">
        <v>0</v>
      </c>
      <c r="H56" s="45">
        <f>IF(AND('Análise'!$G$7="Pago",'Lançamentos'!$G56=TRUE),'Lançamentos'!$F56,IF(AND('Análise'!$G$7="Em Aberto",'Lançamentos'!$G56=FALSE),'Lançamentos'!$F56,IF('Análise'!$G$7="Todos",'Lançamentos'!$F56,0)))</f>
        <v>86.05</v>
      </c>
    </row>
    <row r="57" ht="15.75" customHeight="1">
      <c r="B57" s="26">
        <v>46223.0</v>
      </c>
      <c r="C57" s="27">
        <f>IF('Lançamentos'!$B57&lt;&gt;"",YEAR('Lançamentos'!$B57)*100+MONTH(B57),"")</f>
        <v>202607</v>
      </c>
      <c r="D57" s="30" t="s">
        <v>192</v>
      </c>
      <c r="E57" s="40" t="str">
        <f t="array" ref="E57">IFERROR(_xlfn.XLOOKUP('Lançamentos'!$D57,Planilha1!$B$2:$B$35,Planilha1!$C$2:$C$35),0)</f>
        <v>S</v>
      </c>
      <c r="F57" s="42">
        <v>343.2</v>
      </c>
      <c r="G57" s="43" t="b">
        <v>0</v>
      </c>
      <c r="H57" s="45">
        <f>IF(AND('Análise'!$G$7="Pago",'Lançamentos'!$G57=TRUE),'Lançamentos'!$F57,IF(AND('Análise'!$G$7="Em Aberto",'Lançamentos'!$G57=FALSE),'Lançamentos'!$F57,IF('Análise'!$G$7="Todos",'Lançamentos'!$F57,0)))</f>
        <v>343.2</v>
      </c>
    </row>
    <row r="58" ht="15.75" customHeight="1">
      <c r="B58" s="26">
        <v>46223.0</v>
      </c>
      <c r="C58" s="27">
        <f>IF('Lançamentos'!$B58&lt;&gt;"",YEAR('Lançamentos'!$B58)*100+MONTH(B58),"")</f>
        <v>202607</v>
      </c>
      <c r="D58" s="30" t="s">
        <v>53</v>
      </c>
      <c r="E58" s="40" t="str">
        <f t="array" ref="E58">IFERROR(_xlfn.XLOOKUP('Lançamentos'!$D58,Planilha1!$B$2:$B$35,Planilha1!$C$2:$C$35),0)</f>
        <v>E</v>
      </c>
      <c r="F58" s="51">
        <v>2500.0</v>
      </c>
      <c r="G58" s="43" t="b">
        <v>0</v>
      </c>
      <c r="H58" s="45">
        <f>IF(AND('Análise'!$G$7="Pago",'Lançamentos'!$G58=TRUE),'Lançamentos'!$F58,IF(AND('Análise'!$G$7="Em Aberto",'Lançamentos'!$G58=FALSE),'Lançamentos'!$F58,IF('Análise'!$G$7="Todos",'Lançamentos'!$F58,0)))</f>
        <v>2500</v>
      </c>
    </row>
    <row r="59" ht="15.75" customHeight="1">
      <c r="B59" s="26">
        <v>46225.0</v>
      </c>
      <c r="C59" s="27">
        <f>IF('Lançamentos'!$B59&lt;&gt;"",YEAR('Lançamentos'!$B59)*100+MONTH(B59),"")</f>
        <v>202607</v>
      </c>
      <c r="D59" s="30" t="s">
        <v>217</v>
      </c>
      <c r="E59" s="40">
        <f t="array" ref="E59">IFERROR(_xlfn.XLOOKUP('Lançamentos'!$D59,Planilha1!$B$2:$B$35,Planilha1!$C$2:$C$35),0)</f>
        <v>0</v>
      </c>
      <c r="F59" s="42">
        <v>160.0</v>
      </c>
      <c r="G59" s="43" t="b">
        <v>0</v>
      </c>
      <c r="H59" s="45">
        <f>IF(AND('Análise'!$G$7="Pago",'Lançamentos'!$G59=TRUE),'Lançamentos'!$F59,IF(AND('Análise'!$G$7="Em Aberto",'Lançamentos'!$G59=FALSE),'Lançamentos'!$F59,IF('Análise'!$G$7="Todos",'Lançamentos'!$F59,0)))</f>
        <v>160</v>
      </c>
    </row>
    <row r="60" ht="15.75" customHeight="1">
      <c r="B60" s="26">
        <v>46225.0</v>
      </c>
      <c r="C60" s="27">
        <f>IF('Lançamentos'!$B60&lt;&gt;"",YEAR('Lançamentos'!$B60)*100+MONTH(B60),"")</f>
        <v>202607</v>
      </c>
      <c r="D60" s="30" t="s">
        <v>194</v>
      </c>
      <c r="E60" s="40" t="str">
        <f t="array" ref="E60">IFERROR(_xlfn.XLOOKUP('Lançamentos'!$D60,Planilha1!$B$2:$B$35,Planilha1!$C$2:$C$35),0)</f>
        <v>S</v>
      </c>
      <c r="F60" s="42">
        <v>198.91</v>
      </c>
      <c r="G60" s="43" t="b">
        <v>0</v>
      </c>
      <c r="H60" s="45">
        <f>IF(AND('Análise'!$G$7="Pago",'Lançamentos'!$G60=TRUE),'Lançamentos'!$F60,IF(AND('Análise'!$G$7="Em Aberto",'Lançamentos'!$G60=FALSE),'Lançamentos'!$F60,IF('Análise'!$G$7="Todos",'Lançamentos'!$F60,0)))</f>
        <v>198.91</v>
      </c>
    </row>
    <row r="61" ht="15.75" customHeight="1">
      <c r="B61" s="26">
        <v>46229.0</v>
      </c>
      <c r="C61" s="27">
        <f>IF('Lançamentos'!$B61&lt;&gt;"",YEAR('Lançamentos'!$B61)*100+MONTH(B61),"")</f>
        <v>202607</v>
      </c>
      <c r="D61" s="30" t="s">
        <v>194</v>
      </c>
      <c r="E61" s="40" t="str">
        <f t="array" ref="E61">IFERROR(_xlfn.XLOOKUP('Lançamentos'!$D61,Planilha1!$B$2:$B$35,Planilha1!$C$2:$C$35),0)</f>
        <v>S</v>
      </c>
      <c r="F61" s="42">
        <v>729.0</v>
      </c>
      <c r="G61" s="43" t="b">
        <v>0</v>
      </c>
      <c r="H61" s="45">
        <f>IF(AND('Análise'!$G$7="Pago",'Lançamentos'!$G61=TRUE),'Lançamentos'!$F61,IF(AND('Análise'!$G$7="Em Aberto",'Lançamentos'!$G61=FALSE),'Lançamentos'!$F61,IF('Análise'!$G$7="Todos",'Lançamentos'!$F61,0)))</f>
        <v>729</v>
      </c>
    </row>
    <row r="62" ht="15.75" customHeight="1">
      <c r="B62" s="26">
        <v>46229.0</v>
      </c>
      <c r="C62" s="27">
        <f>IF('Lançamentos'!$B62&lt;&gt;"",YEAR('Lançamentos'!$B62)*100+MONTH(B62),"")</f>
        <v>202607</v>
      </c>
      <c r="D62" s="30" t="s">
        <v>183</v>
      </c>
      <c r="E62" s="40" t="str">
        <f t="array" ref="E62">IFERROR(_xlfn.XLOOKUP('Lançamentos'!$D62,Planilha1!$B$2:$B$35,Planilha1!$C$2:$C$35),0)</f>
        <v>S</v>
      </c>
      <c r="F62" s="51">
        <v>61.0</v>
      </c>
      <c r="G62" s="43" t="b">
        <v>0</v>
      </c>
      <c r="H62" s="45">
        <f>IF(AND('Análise'!$G$7="Pago",'Lançamentos'!$G62=TRUE),'Lançamentos'!$F62,IF(AND('Análise'!$G$7="Em Aberto",'Lançamentos'!$G62=FALSE),'Lançamentos'!$F62,IF('Análise'!$G$7="Todos",'Lançamentos'!$F62,0)))</f>
        <v>61</v>
      </c>
    </row>
    <row r="63" ht="15.75" customHeight="1">
      <c r="B63" s="26">
        <v>46230.0</v>
      </c>
      <c r="C63" s="27">
        <f>IF('Lançamentos'!$B63&lt;&gt;"",YEAR('Lançamentos'!$B63)*100+MONTH(B63),"")</f>
        <v>202607</v>
      </c>
      <c r="D63" s="30" t="s">
        <v>217</v>
      </c>
      <c r="E63" s="40">
        <f t="array" ref="E63">IFERROR(_xlfn.XLOOKUP('Lançamentos'!$D63,Planilha1!$B$2:$B$35,Planilha1!$C$2:$C$35),0)</f>
        <v>0</v>
      </c>
      <c r="F63" s="42">
        <v>1400.0</v>
      </c>
      <c r="G63" s="43" t="b">
        <v>0</v>
      </c>
      <c r="H63" s="45">
        <f>IF(AND('Análise'!$G$7="Pago",'Lançamentos'!$G63=TRUE),'Lançamentos'!$F63,IF(AND('Análise'!$G$7="Em Aberto",'Lançamentos'!$G63=FALSE),'Lançamentos'!$F63,IF('Análise'!$G$7="Todos",'Lançamentos'!$F63,0)))</f>
        <v>1400</v>
      </c>
    </row>
    <row r="64" ht="15.75" customHeight="1">
      <c r="B64" s="26">
        <v>46230.0</v>
      </c>
      <c r="C64" s="27">
        <f>IF('Lançamentos'!$B64&lt;&gt;"",YEAR('Lançamentos'!$B64)*100+MONTH(B64),"")</f>
        <v>202607</v>
      </c>
      <c r="D64" s="30" t="s">
        <v>178</v>
      </c>
      <c r="E64" s="40" t="str">
        <f t="array" ref="E64">IFERROR(_xlfn.XLOOKUP('Lançamentos'!$D64,Planilha1!$B$2:$B$35,Planilha1!$C$2:$C$35),0)</f>
        <v>S</v>
      </c>
      <c r="F64" s="42">
        <v>150.0</v>
      </c>
      <c r="G64" s="43" t="b">
        <v>0</v>
      </c>
      <c r="H64" s="45">
        <f>IF(AND('Análise'!$G$7="Pago",'Lançamentos'!$G64=TRUE),'Lançamentos'!$F64,IF(AND('Análise'!$G$7="Em Aberto",'Lançamentos'!$G64=FALSE),'Lançamentos'!$F64,IF('Análise'!$G$7="Todos",'Lançamentos'!$F64,0)))</f>
        <v>150</v>
      </c>
    </row>
    <row r="65" ht="15.75" customHeight="1">
      <c r="B65" s="26">
        <v>46232.0</v>
      </c>
      <c r="C65" s="27">
        <f>IF('Lançamentos'!$B65&lt;&gt;"",YEAR('Lançamentos'!$B65)*100+MONTH(B65),"")</f>
        <v>202607</v>
      </c>
      <c r="D65" s="30" t="s">
        <v>190</v>
      </c>
      <c r="E65" s="40" t="str">
        <f t="array" ref="E65">IFERROR(_xlfn.XLOOKUP('Lançamentos'!$D65,Planilha1!$B$2:$B$35,Planilha1!$C$2:$C$35),0)</f>
        <v>S</v>
      </c>
      <c r="F65" s="42">
        <v>539.73</v>
      </c>
      <c r="G65" s="43" t="b">
        <v>0</v>
      </c>
      <c r="H65" s="45">
        <f>IF(AND('Análise'!$G$7="Pago",'Lançamentos'!$G65=TRUE),'Lançamentos'!$F65,IF(AND('Análise'!$G$7="Em Aberto",'Lançamentos'!$G65=FALSE),'Lançamentos'!$F65,IF('Análise'!$G$7="Todos",'Lançamentos'!$F65,0)))</f>
        <v>539.73</v>
      </c>
    </row>
    <row r="66" ht="15.75" customHeight="1">
      <c r="B66" s="26">
        <v>46232.0</v>
      </c>
      <c r="C66" s="27">
        <f>IF('Lançamentos'!$B66&lt;&gt;"",YEAR('Lançamentos'!$B66)*100+MONTH(B66),"")</f>
        <v>202607</v>
      </c>
      <c r="D66" s="30" t="s">
        <v>192</v>
      </c>
      <c r="E66" s="40" t="str">
        <f t="array" ref="E66">IFERROR(_xlfn.XLOOKUP('Lançamentos'!$D66,Planilha1!$B$2:$B$35,Planilha1!$C$2:$C$35),0)</f>
        <v>S</v>
      </c>
      <c r="F66" s="42">
        <v>301.29</v>
      </c>
      <c r="G66" s="43" t="b">
        <v>0</v>
      </c>
      <c r="H66" s="45">
        <f>IF(AND('Análise'!$G$7="Pago",'Lançamentos'!$G66=TRUE),'Lançamentos'!$F66,IF(AND('Análise'!$G$7="Em Aberto",'Lançamentos'!$G66=FALSE),'Lançamentos'!$F66,IF('Análise'!$G$7="Todos",'Lançamentos'!$F66,0)))</f>
        <v>301.29</v>
      </c>
    </row>
    <row r="67" ht="15.75" customHeight="1">
      <c r="B67" s="26">
        <v>46233.0</v>
      </c>
      <c r="C67" s="27">
        <f>IF('Lançamentos'!$B67&lt;&gt;"",YEAR('Lançamentos'!$B67)*100+MONTH(B67),"")</f>
        <v>202607</v>
      </c>
      <c r="D67" s="30" t="s">
        <v>190</v>
      </c>
      <c r="E67" s="40" t="str">
        <f t="array" ref="E67">IFERROR(_xlfn.XLOOKUP('Lançamentos'!$D67,Planilha1!$B$2:$B$35,Planilha1!$C$2:$C$35),0)</f>
        <v>S</v>
      </c>
      <c r="F67" s="42">
        <v>522.32</v>
      </c>
      <c r="G67" s="43" t="b">
        <v>0</v>
      </c>
      <c r="H67" s="45">
        <f>IF(AND('Análise'!$G$7="Pago",'Lançamentos'!$G67=TRUE),'Lançamentos'!$F67,IF(AND('Análise'!$G$7="Em Aberto",'Lançamentos'!$G67=FALSE),'Lançamentos'!$F67,IF('Análise'!$G$7="Todos",'Lançamentos'!$F67,0)))</f>
        <v>522.32</v>
      </c>
    </row>
    <row r="68" ht="15.75" customHeight="1">
      <c r="B68" s="26">
        <v>46234.0</v>
      </c>
      <c r="C68" s="27">
        <f>IF('Lançamentos'!$B68&lt;&gt;"",YEAR('Lançamentos'!$B68)*100+MONTH(B68),"")</f>
        <v>202607</v>
      </c>
      <c r="D68" s="30" t="s">
        <v>182</v>
      </c>
      <c r="E68" s="40" t="str">
        <f t="array" ref="E68">IFERROR(_xlfn.XLOOKUP('Lançamentos'!$D68,Planilha1!$B$2:$B$35,Planilha1!$C$2:$C$35),0)</f>
        <v>E</v>
      </c>
      <c r="F68" s="51">
        <v>1055.0</v>
      </c>
      <c r="G68" s="43" t="b">
        <v>0</v>
      </c>
      <c r="H68" s="45">
        <f>IF(AND('Análise'!$G$7="Pago",'Lançamentos'!$G68=TRUE),'Lançamentos'!$F68,IF(AND('Análise'!$G$7="Em Aberto",'Lançamentos'!$G68=FALSE),'Lançamentos'!$F68,IF('Análise'!$G$7="Todos",'Lançamentos'!$F68,0)))</f>
        <v>1055</v>
      </c>
    </row>
    <row r="69" ht="15.75" customHeight="1">
      <c r="B69" s="26">
        <v>46235.0</v>
      </c>
      <c r="C69" s="27">
        <f>IF('Lançamentos'!$B69&lt;&gt;"",YEAR('Lançamentos'!$B69)*100+MONTH(B69),"")</f>
        <v>202608</v>
      </c>
      <c r="D69" s="30" t="s">
        <v>175</v>
      </c>
      <c r="E69" s="40" t="str">
        <f t="array" ref="E69">IFERROR(_xlfn.XLOOKUP('Lançamentos'!$D69,Planilha1!$B$2:$B$35,Planilha1!$C$2:$C$35),0)</f>
        <v>S</v>
      </c>
      <c r="F69" s="42">
        <v>2500.0</v>
      </c>
      <c r="G69" s="43" t="b">
        <v>0</v>
      </c>
      <c r="H69" s="45">
        <f>IF(AND('Análise'!$G$7="Pago",'Lançamentos'!$G69=TRUE),'Lançamentos'!$F69,IF(AND('Análise'!$G$7="Em Aberto",'Lançamentos'!$G69=FALSE),'Lançamentos'!$F69,IF('Análise'!$G$7="Todos",'Lançamentos'!$F69,0)))</f>
        <v>2500</v>
      </c>
    </row>
    <row r="70" ht="15.75" customHeight="1">
      <c r="B70" s="26">
        <v>46235.0</v>
      </c>
      <c r="C70" s="27">
        <f>IF('Lançamentos'!$B70&lt;&gt;"",YEAR('Lançamentos'!$B70)*100+MONTH(B70),"")</f>
        <v>202608</v>
      </c>
      <c r="D70" s="30" t="s">
        <v>187</v>
      </c>
      <c r="E70" s="40" t="str">
        <f t="array" ref="E70">IFERROR(_xlfn.XLOOKUP('Lançamentos'!$D70,Planilha1!$B$2:$B$35,Planilha1!$C$2:$C$35),0)</f>
        <v>E</v>
      </c>
      <c r="F70" s="51">
        <v>4600.0</v>
      </c>
      <c r="G70" s="43" t="b">
        <v>0</v>
      </c>
      <c r="H70" s="45">
        <f>IF(AND('Análise'!$G$7="Pago",'Lançamentos'!$G70=TRUE),'Lançamentos'!$F70,IF(AND('Análise'!$G$7="Em Aberto",'Lançamentos'!$G70=FALSE),'Lançamentos'!$F70,IF('Análise'!$G$7="Todos",'Lançamentos'!$F70,0)))</f>
        <v>4600</v>
      </c>
    </row>
    <row r="71" ht="15.75" customHeight="1">
      <c r="B71" s="26">
        <v>46237.0</v>
      </c>
      <c r="C71" s="27">
        <f>IF('Lançamentos'!$B71&lt;&gt;"",YEAR('Lançamentos'!$B71)*100+MONTH(B71),"")</f>
        <v>202608</v>
      </c>
      <c r="D71" s="30" t="s">
        <v>217</v>
      </c>
      <c r="E71" s="40">
        <f t="array" ref="E71">IFERROR(_xlfn.XLOOKUP('Lançamentos'!$D71,Planilha1!$B$2:$B$35,Planilha1!$C$2:$C$35),0)</f>
        <v>0</v>
      </c>
      <c r="F71" s="42">
        <v>900.0</v>
      </c>
      <c r="G71" s="43" t="b">
        <v>0</v>
      </c>
      <c r="H71" s="45">
        <f>IF(AND('Análise'!$G$7="Pago",'Lançamentos'!$G71=TRUE),'Lançamentos'!$F71,IF(AND('Análise'!$G$7="Em Aberto",'Lançamentos'!$G71=FALSE),'Lançamentos'!$F71,IF('Análise'!$G$7="Todos",'Lançamentos'!$F71,0)))</f>
        <v>900</v>
      </c>
    </row>
    <row r="72" ht="15.75" customHeight="1">
      <c r="B72" s="26">
        <v>46237.0</v>
      </c>
      <c r="C72" s="27">
        <f>IF('Lançamentos'!$B72&lt;&gt;"",YEAR('Lançamentos'!$B72)*100+MONTH(B72),"")</f>
        <v>202608</v>
      </c>
      <c r="D72" s="30" t="s">
        <v>178</v>
      </c>
      <c r="E72" s="40" t="str">
        <f t="array" ref="E72">IFERROR(_xlfn.XLOOKUP('Lançamentos'!$D72,Planilha1!$B$2:$B$35,Planilha1!$C$2:$C$35),0)</f>
        <v>S</v>
      </c>
      <c r="F72" s="42">
        <v>640.0</v>
      </c>
      <c r="G72" s="43" t="b">
        <v>0</v>
      </c>
      <c r="H72" s="45">
        <f>IF(AND('Análise'!$G$7="Pago",'Lançamentos'!$G72=TRUE),'Lançamentos'!$F72,IF(AND('Análise'!$G$7="Em Aberto",'Lançamentos'!$G72=FALSE),'Lançamentos'!$F72,IF('Análise'!$G$7="Todos",'Lançamentos'!$F72,0)))</f>
        <v>640</v>
      </c>
    </row>
    <row r="73" ht="15.75" customHeight="1">
      <c r="B73" s="26">
        <v>46237.0</v>
      </c>
      <c r="C73" s="27">
        <f>IF('Lançamentos'!$B73&lt;&gt;"",YEAR('Lançamentos'!$B73)*100+MONTH(B73),"")</f>
        <v>202608</v>
      </c>
      <c r="D73" s="30" t="s">
        <v>102</v>
      </c>
      <c r="E73" s="40" t="str">
        <f t="array" ref="E73">IFERROR(_xlfn.XLOOKUP('Lançamentos'!$D73,Planilha1!$B$2:$B$35,Planilha1!$C$2:$C$35),0)</f>
        <v>E</v>
      </c>
      <c r="F73" s="51">
        <v>3700.0</v>
      </c>
      <c r="G73" s="43" t="b">
        <v>0</v>
      </c>
      <c r="H73" s="45">
        <f>IF(AND('Análise'!$G$7="Pago",'Lançamentos'!$G73=TRUE),'Lançamentos'!$F73,IF(AND('Análise'!$G$7="Em Aberto",'Lançamentos'!$G73=FALSE),'Lançamentos'!$F73,IF('Análise'!$G$7="Todos",'Lançamentos'!$F73,0)))</f>
        <v>3700</v>
      </c>
    </row>
    <row r="74" ht="15.75" customHeight="1">
      <c r="B74" s="26">
        <v>46239.0</v>
      </c>
      <c r="C74" s="27">
        <f>IF('Lançamentos'!$B74&lt;&gt;"",YEAR('Lançamentos'!$B74)*100+MONTH(B74),"")</f>
        <v>202608</v>
      </c>
      <c r="D74" s="30" t="s">
        <v>175</v>
      </c>
      <c r="E74" s="40" t="str">
        <f t="array" ref="E74">IFERROR(_xlfn.XLOOKUP('Lançamentos'!$D74,Planilha1!$B$2:$B$35,Planilha1!$C$2:$C$35),0)</f>
        <v>S</v>
      </c>
      <c r="F74" s="42">
        <v>2500.0</v>
      </c>
      <c r="G74" s="43" t="b">
        <v>0</v>
      </c>
      <c r="H74" s="45">
        <f>IF(AND('Análise'!$G$7="Pago",'Lançamentos'!$G74=TRUE),'Lançamentos'!$F74,IF(AND('Análise'!$G$7="Em Aberto",'Lançamentos'!$G74=FALSE),'Lançamentos'!$F74,IF('Análise'!$G$7="Todos",'Lançamentos'!$F74,0)))</f>
        <v>2500</v>
      </c>
    </row>
    <row r="75" ht="15.75" customHeight="1">
      <c r="B75" s="26">
        <v>46239.0</v>
      </c>
      <c r="C75" s="27">
        <f>IF('Lançamentos'!$B75&lt;&gt;"",YEAR('Lançamentos'!$B75)*100+MONTH(B75),"")</f>
        <v>202608</v>
      </c>
      <c r="D75" s="30" t="s">
        <v>183</v>
      </c>
      <c r="E75" s="40" t="str">
        <f t="array" ref="E75">IFERROR(_xlfn.XLOOKUP('Lançamentos'!$D75,Planilha1!$B$2:$B$35,Planilha1!$C$2:$C$35),0)</f>
        <v>S</v>
      </c>
      <c r="F75" s="42">
        <v>84.2</v>
      </c>
      <c r="G75" s="43" t="b">
        <v>0</v>
      </c>
      <c r="H75" s="45">
        <f>IF(AND('Análise'!$G$7="Pago",'Lançamentos'!$G75=TRUE),'Lançamentos'!$F75,IF(AND('Análise'!$G$7="Em Aberto",'Lançamentos'!$G75=FALSE),'Lançamentos'!$F75,IF('Análise'!$G$7="Todos",'Lançamentos'!$F75,0)))</f>
        <v>84.2</v>
      </c>
    </row>
    <row r="76" ht="15.75" customHeight="1">
      <c r="B76" s="26">
        <v>46239.0</v>
      </c>
      <c r="C76" s="27">
        <f>IF('Lançamentos'!$B76&lt;&gt;"",YEAR('Lançamentos'!$B76)*100+MONTH(B76),"")</f>
        <v>202608</v>
      </c>
      <c r="D76" s="30" t="s">
        <v>177</v>
      </c>
      <c r="E76" s="40" t="str">
        <f t="array" ref="E76">IFERROR(_xlfn.XLOOKUP('Lançamentos'!$D76,Planilha1!$B$2:$B$35,Planilha1!$C$2:$C$35),0)</f>
        <v>E</v>
      </c>
      <c r="F76" s="51">
        <v>5500.0</v>
      </c>
      <c r="G76" s="43" t="b">
        <v>0</v>
      </c>
      <c r="H76" s="45">
        <f>IF(AND('Análise'!$G$7="Pago",'Lançamentos'!$G76=TRUE),'Lançamentos'!$F76,IF(AND('Análise'!$G$7="Em Aberto",'Lançamentos'!$G76=FALSE),'Lançamentos'!$F76,IF('Análise'!$G$7="Todos",'Lançamentos'!$F76,0)))</f>
        <v>5500</v>
      </c>
    </row>
    <row r="77" ht="15.75" customHeight="1">
      <c r="B77" s="26">
        <v>46240.0</v>
      </c>
      <c r="C77" s="27">
        <f>IF('Lançamentos'!$B77&lt;&gt;"",YEAR('Lançamentos'!$B77)*100+MONTH(B77),"")</f>
        <v>202608</v>
      </c>
      <c r="D77" s="30" t="s">
        <v>194</v>
      </c>
      <c r="E77" s="40" t="str">
        <f t="array" ref="E77">IFERROR(_xlfn.XLOOKUP('Lançamentos'!$D77,Planilha1!$B$2:$B$35,Planilha1!$C$2:$C$35),0)</f>
        <v>S</v>
      </c>
      <c r="F77" s="42">
        <v>106.0</v>
      </c>
      <c r="G77" s="43" t="b">
        <v>0</v>
      </c>
      <c r="H77" s="45">
        <f>IF(AND('Análise'!$G$7="Pago",'Lançamentos'!$G77=TRUE),'Lançamentos'!$F77,IF(AND('Análise'!$G$7="Em Aberto",'Lançamentos'!$G77=FALSE),'Lançamentos'!$F77,IF('Análise'!$G$7="Todos",'Lançamentos'!$F77,0)))</f>
        <v>106</v>
      </c>
    </row>
    <row r="78" ht="15.75" customHeight="1">
      <c r="B78" s="26">
        <v>46241.0</v>
      </c>
      <c r="C78" s="27">
        <f>IF('Lançamentos'!$B78&lt;&gt;"",YEAR('Lançamentos'!$B78)*100+MONTH(B78),"")</f>
        <v>202608</v>
      </c>
      <c r="D78" s="30" t="s">
        <v>194</v>
      </c>
      <c r="E78" s="40" t="str">
        <f t="array" ref="E78">IFERROR(_xlfn.XLOOKUP('Lançamentos'!$D78,Planilha1!$B$2:$B$35,Planilha1!$C$2:$C$35),0)</f>
        <v>S</v>
      </c>
      <c r="F78" s="42">
        <v>106.0</v>
      </c>
      <c r="G78" s="43" t="b">
        <v>0</v>
      </c>
      <c r="H78" s="45">
        <f>IF(AND('Análise'!$G$7="Pago",'Lançamentos'!$G78=TRUE),'Lançamentos'!$F78,IF(AND('Análise'!$G$7="Em Aberto",'Lançamentos'!$G78=FALSE),'Lançamentos'!$F78,IF('Análise'!$G$7="Todos",'Lançamentos'!$F78,0)))</f>
        <v>106</v>
      </c>
    </row>
    <row r="79" ht="15.75" customHeight="1">
      <c r="B79" s="26">
        <v>46241.0</v>
      </c>
      <c r="C79" s="27">
        <f>IF('Lançamentos'!$B79&lt;&gt;"",YEAR('Lançamentos'!$B79)*100+MONTH(B79),"")</f>
        <v>202608</v>
      </c>
      <c r="D79" s="30" t="s">
        <v>174</v>
      </c>
      <c r="E79" s="40" t="str">
        <f t="array" ref="E79">IFERROR(_xlfn.XLOOKUP('Lançamentos'!$D79,Planilha1!$B$2:$B$35,Planilha1!$C$2:$C$35),0)</f>
        <v>E</v>
      </c>
      <c r="F79" s="51">
        <v>1200.0</v>
      </c>
      <c r="G79" s="43" t="b">
        <v>0</v>
      </c>
      <c r="H79" s="45">
        <f>IF(AND('Análise'!$G$7="Pago",'Lançamentos'!$G79=TRUE),'Lançamentos'!$F79,IF(AND('Análise'!$G$7="Em Aberto",'Lançamentos'!$G79=FALSE),'Lançamentos'!$F79,IF('Análise'!$G$7="Todos",'Lançamentos'!$F79,0)))</f>
        <v>1200</v>
      </c>
    </row>
    <row r="80" ht="15.75" customHeight="1">
      <c r="B80" s="26">
        <v>46242.0</v>
      </c>
      <c r="C80" s="27">
        <f>IF('Lançamentos'!$B80&lt;&gt;"",YEAR('Lançamentos'!$B80)*100+MONTH(B80),"")</f>
        <v>202608</v>
      </c>
      <c r="D80" s="30" t="s">
        <v>194</v>
      </c>
      <c r="E80" s="40" t="str">
        <f t="array" ref="E80">IFERROR(_xlfn.XLOOKUP('Lançamentos'!$D80,Planilha1!$B$2:$B$35,Planilha1!$C$2:$C$35),0)</f>
        <v>S</v>
      </c>
      <c r="F80" s="42">
        <v>114.0</v>
      </c>
      <c r="G80" s="43" t="b">
        <v>0</v>
      </c>
      <c r="H80" s="45">
        <f>IF(AND('Análise'!$G$7="Pago",'Lançamentos'!$G80=TRUE),'Lançamentos'!$F80,IF(AND('Análise'!$G$7="Em Aberto",'Lançamentos'!$G80=FALSE),'Lançamentos'!$F80,IF('Análise'!$G$7="Todos",'Lançamentos'!$F80,0)))</f>
        <v>114</v>
      </c>
    </row>
    <row r="81" ht="15.75" customHeight="1">
      <c r="B81" s="26">
        <v>46242.0</v>
      </c>
      <c r="C81" s="27">
        <f>IF('Lançamentos'!$B81&lt;&gt;"",YEAR('Lançamentos'!$B81)*100+MONTH(B81),"")</f>
        <v>202608</v>
      </c>
      <c r="D81" s="30" t="s">
        <v>192</v>
      </c>
      <c r="E81" s="40" t="str">
        <f t="array" ref="E81">IFERROR(_xlfn.XLOOKUP('Lançamentos'!$D81,Planilha1!$B$2:$B$35,Planilha1!$C$2:$C$35),0)</f>
        <v>S</v>
      </c>
      <c r="F81" s="42">
        <v>102.24</v>
      </c>
      <c r="G81" s="43" t="b">
        <v>0</v>
      </c>
      <c r="H81" s="45">
        <f>IF(AND('Análise'!$G$7="Pago",'Lançamentos'!$G81=TRUE),'Lançamentos'!$F81,IF(AND('Análise'!$G$7="Em Aberto",'Lançamentos'!$G81=FALSE),'Lançamentos'!$F81,IF('Análise'!$G$7="Todos",'Lançamentos'!$F81,0)))</f>
        <v>102.24</v>
      </c>
    </row>
    <row r="82" ht="15.75" customHeight="1">
      <c r="B82" s="26">
        <v>46243.0</v>
      </c>
      <c r="C82" s="27">
        <f>IF('Lançamentos'!$B82&lt;&gt;"",YEAR('Lançamentos'!$B82)*100+MONTH(B82),"")</f>
        <v>202608</v>
      </c>
      <c r="D82" s="30" t="s">
        <v>176</v>
      </c>
      <c r="E82" s="40" t="str">
        <f t="array" ref="E82">IFERROR(_xlfn.XLOOKUP('Lançamentos'!$D82,Planilha1!$B$2:$B$35,Planilha1!$C$2:$C$35),0)</f>
        <v>S</v>
      </c>
      <c r="F82" s="42">
        <v>60.0</v>
      </c>
      <c r="G82" s="43" t="b">
        <v>0</v>
      </c>
      <c r="H82" s="45">
        <f>IF(AND('Análise'!$G$7="Pago",'Lançamentos'!$G82=TRUE),'Lançamentos'!$F82,IF(AND('Análise'!$G$7="Em Aberto",'Lançamentos'!$G82=FALSE),'Lançamentos'!$F82,IF('Análise'!$G$7="Todos",'Lançamentos'!$F82,0)))</f>
        <v>60</v>
      </c>
    </row>
    <row r="83" ht="15.75" customHeight="1">
      <c r="B83" s="26">
        <v>46243.0</v>
      </c>
      <c r="C83" s="27">
        <f>IF('Lançamentos'!$B83&lt;&gt;"",YEAR('Lançamentos'!$B83)*100+MONTH(B83),"")</f>
        <v>202608</v>
      </c>
      <c r="D83" s="30" t="s">
        <v>194</v>
      </c>
      <c r="E83" s="40" t="str">
        <f t="array" ref="E83">IFERROR(_xlfn.XLOOKUP('Lançamentos'!$D83,Planilha1!$B$2:$B$35,Planilha1!$C$2:$C$35),0)</f>
        <v>S</v>
      </c>
      <c r="F83" s="42">
        <v>114.0</v>
      </c>
      <c r="G83" s="43" t="b">
        <v>0</v>
      </c>
      <c r="H83" s="45">
        <f>IF(AND('Análise'!$G$7="Pago",'Lançamentos'!$G83=TRUE),'Lançamentos'!$F83,IF(AND('Análise'!$G$7="Em Aberto",'Lançamentos'!$G83=FALSE),'Lançamentos'!$F83,IF('Análise'!$G$7="Todos",'Lançamentos'!$F83,0)))</f>
        <v>114</v>
      </c>
    </row>
    <row r="84" ht="15.75" customHeight="1">
      <c r="B84" s="26">
        <v>46243.0</v>
      </c>
      <c r="C84" s="27">
        <f>IF('Lançamentos'!$B84&lt;&gt;"",YEAR('Lançamentos'!$B84)*100+MONTH(B84),"")</f>
        <v>202608</v>
      </c>
      <c r="D84" s="30" t="s">
        <v>181</v>
      </c>
      <c r="E84" s="40" t="str">
        <f t="array" ref="E84">IFERROR(_xlfn.XLOOKUP('Lançamentos'!$D84,Planilha1!$B$2:$B$35,Planilha1!$C$2:$C$35),0)</f>
        <v>S</v>
      </c>
      <c r="F84" s="42">
        <v>1555.0</v>
      </c>
      <c r="G84" s="43" t="b">
        <v>0</v>
      </c>
      <c r="H84" s="45">
        <f>IF(AND('Análise'!$G$7="Pago",'Lançamentos'!$G84=TRUE),'Lançamentos'!$F84,IF(AND('Análise'!$G$7="Em Aberto",'Lançamentos'!$G84=FALSE),'Lançamentos'!$F84,IF('Análise'!$G$7="Todos",'Lançamentos'!$F84,0)))</f>
        <v>1555</v>
      </c>
    </row>
    <row r="85" ht="15.75" customHeight="1">
      <c r="B85" s="26">
        <v>46243.0</v>
      </c>
      <c r="C85" s="27">
        <f>IF('Lançamentos'!$B85&lt;&gt;"",YEAR('Lançamentos'!$B85)*100+MONTH(B85),"")</f>
        <v>202608</v>
      </c>
      <c r="D85" s="30" t="s">
        <v>175</v>
      </c>
      <c r="E85" s="40" t="str">
        <f t="array" ref="E85">IFERROR(_xlfn.XLOOKUP('Lançamentos'!$D85,Planilha1!$B$2:$B$35,Planilha1!$C$2:$C$35),0)</f>
        <v>S</v>
      </c>
      <c r="F85" s="42">
        <v>4350.0</v>
      </c>
      <c r="G85" s="43" t="b">
        <v>0</v>
      </c>
      <c r="H85" s="45">
        <f>IF(AND('Análise'!$G$7="Pago",'Lançamentos'!$G85=TRUE),'Lançamentos'!$F85,IF(AND('Análise'!$G$7="Em Aberto",'Lançamentos'!$G85=FALSE),'Lançamentos'!$F85,IF('Análise'!$G$7="Todos",'Lançamentos'!$F85,0)))</f>
        <v>4350</v>
      </c>
    </row>
    <row r="86" ht="15.75" customHeight="1">
      <c r="B86" s="26">
        <v>46243.0</v>
      </c>
      <c r="C86" s="27">
        <f>IF('Lançamentos'!$B86&lt;&gt;"",YEAR('Lançamentos'!$B86)*100+MONTH(B86),"")</f>
        <v>202608</v>
      </c>
      <c r="D86" s="30" t="s">
        <v>175</v>
      </c>
      <c r="E86" s="40" t="str">
        <f t="array" ref="E86">IFERROR(_xlfn.XLOOKUP('Lançamentos'!$D86,Planilha1!$B$2:$B$35,Planilha1!$C$2:$C$35),0)</f>
        <v>S</v>
      </c>
      <c r="F86" s="42">
        <v>4500.0</v>
      </c>
      <c r="G86" s="43" t="b">
        <v>0</v>
      </c>
      <c r="H86" s="45">
        <f>IF(AND('Análise'!$G$7="Pago",'Lançamentos'!$G86=TRUE),'Lançamentos'!$F86,IF(AND('Análise'!$G$7="Em Aberto",'Lançamentos'!$G86=FALSE),'Lançamentos'!$F86,IF('Análise'!$G$7="Todos",'Lançamentos'!$F86,0)))</f>
        <v>4500</v>
      </c>
    </row>
    <row r="87" ht="15.75" customHeight="1">
      <c r="B87" s="26">
        <v>46243.0</v>
      </c>
      <c r="C87" s="27">
        <f>IF('Lançamentos'!$B87&lt;&gt;"",YEAR('Lançamentos'!$B87)*100+MONTH(B87),"")</f>
        <v>202608</v>
      </c>
      <c r="D87" s="30" t="s">
        <v>179</v>
      </c>
      <c r="E87" s="40" t="str">
        <f t="array" ref="E87">IFERROR(_xlfn.XLOOKUP('Lançamentos'!$D87,Planilha1!$B$2:$B$35,Planilha1!$C$2:$C$35),0)</f>
        <v>S</v>
      </c>
      <c r="F87" s="42">
        <v>3600.0</v>
      </c>
      <c r="G87" s="43" t="b">
        <v>0</v>
      </c>
      <c r="H87" s="45">
        <f>IF(AND('Análise'!$G$7="Pago",'Lançamentos'!$G87=TRUE),'Lançamentos'!$F87,IF(AND('Análise'!$G$7="Em Aberto",'Lançamentos'!$G87=FALSE),'Lançamentos'!$F87,IF('Análise'!$G$7="Todos",'Lançamentos'!$F87,0)))</f>
        <v>3600</v>
      </c>
    </row>
    <row r="88" ht="15.75" customHeight="1">
      <c r="B88" s="26">
        <v>46243.0</v>
      </c>
      <c r="C88" s="27">
        <f>IF('Lançamentos'!$B88&lt;&gt;"",YEAR('Lançamentos'!$B88)*100+MONTH(B88),"")</f>
        <v>202608</v>
      </c>
      <c r="D88" s="30" t="s">
        <v>195</v>
      </c>
      <c r="E88" s="40" t="str">
        <f t="array" ref="E88">IFERROR(_xlfn.XLOOKUP('Lançamentos'!$D88,Planilha1!$B$2:$B$35,Planilha1!$C$2:$C$35),0)</f>
        <v>E</v>
      </c>
      <c r="F88" s="51">
        <v>350.0</v>
      </c>
      <c r="G88" s="43" t="b">
        <v>0</v>
      </c>
      <c r="H88" s="45">
        <f>IF(AND('Análise'!$G$7="Pago",'Lançamentos'!$G88=TRUE),'Lançamentos'!$F88,IF(AND('Análise'!$G$7="Em Aberto",'Lançamentos'!$G88=FALSE),'Lançamentos'!$F88,IF('Análise'!$G$7="Todos",'Lançamentos'!$F88,0)))</f>
        <v>350</v>
      </c>
    </row>
    <row r="89" ht="15.75" customHeight="1">
      <c r="B89" s="26">
        <v>46243.0</v>
      </c>
      <c r="C89" s="27">
        <f>IF('Lançamentos'!$B89&lt;&gt;"",YEAR('Lançamentos'!$B89)*100+MONTH(B89),"")</f>
        <v>202608</v>
      </c>
      <c r="D89" s="30" t="s">
        <v>176</v>
      </c>
      <c r="E89" s="40" t="str">
        <f t="array" ref="E89">IFERROR(_xlfn.XLOOKUP('Lançamentos'!$D89,Planilha1!$B$2:$B$35,Planilha1!$C$2:$C$35),0)</f>
        <v>S</v>
      </c>
      <c r="F89" s="42">
        <v>33.65</v>
      </c>
      <c r="G89" s="43" t="b">
        <v>0</v>
      </c>
      <c r="H89" s="45">
        <f>IF(AND('Análise'!$G$7="Pago",'Lançamentos'!$G89=TRUE),'Lançamentos'!$F89,IF(AND('Análise'!$G$7="Em Aberto",'Lançamentos'!$G89=FALSE),'Lançamentos'!$F89,IF('Análise'!$G$7="Todos",'Lançamentos'!$F89,0)))</f>
        <v>33.65</v>
      </c>
    </row>
    <row r="90" ht="15.75" customHeight="1">
      <c r="B90" s="26">
        <v>46245.0</v>
      </c>
      <c r="C90" s="27">
        <f>IF('Lançamentos'!$B90&lt;&gt;"",YEAR('Lançamentos'!$B90)*100+MONTH(B90),"")</f>
        <v>202608</v>
      </c>
      <c r="D90" s="30" t="s">
        <v>96</v>
      </c>
      <c r="E90" s="40" t="str">
        <f t="array" ref="E90">IFERROR(_xlfn.XLOOKUP('Lançamentos'!$D90,Planilha1!$B$2:$B$35,Planilha1!$C$2:$C$35),0)</f>
        <v>E</v>
      </c>
      <c r="F90" s="51">
        <v>570.0</v>
      </c>
      <c r="G90" s="43" t="b">
        <v>0</v>
      </c>
      <c r="H90" s="45">
        <f>IF(AND('Análise'!$G$7="Pago",'Lançamentos'!$G90=TRUE),'Lançamentos'!$F90,IF(AND('Análise'!$G$7="Em Aberto",'Lançamentos'!$G90=FALSE),'Lançamentos'!$F90,IF('Análise'!$G$7="Todos",'Lançamentos'!$F90,0)))</f>
        <v>570</v>
      </c>
    </row>
    <row r="91" ht="15.75" customHeight="1">
      <c r="B91" s="26">
        <v>46247.0</v>
      </c>
      <c r="C91" s="27">
        <f>IF('Lançamentos'!$B91&lt;&gt;"",YEAR('Lançamentos'!$B91)*100+MONTH(B91),"")</f>
        <v>202608</v>
      </c>
      <c r="D91" s="30" t="s">
        <v>186</v>
      </c>
      <c r="E91" s="40" t="str">
        <f t="array" ref="E91">IFERROR(_xlfn.XLOOKUP('Lançamentos'!$D91,Planilha1!$B$2:$B$35,Planilha1!$C$2:$C$35),0)</f>
        <v>E</v>
      </c>
      <c r="F91" s="51">
        <v>1800.0</v>
      </c>
      <c r="G91" s="43" t="b">
        <v>0</v>
      </c>
      <c r="H91" s="45">
        <f>IF(AND('Análise'!$G$7="Pago",'Lançamentos'!$G91=TRUE),'Lançamentos'!$F91,IF(AND('Análise'!$G$7="Em Aberto",'Lançamentos'!$G91=FALSE),'Lançamentos'!$F91,IF('Análise'!$G$7="Todos",'Lançamentos'!$F91,0)))</f>
        <v>1800</v>
      </c>
    </row>
    <row r="92" ht="15.75" customHeight="1">
      <c r="B92" s="26">
        <v>46247.0</v>
      </c>
      <c r="C92" s="27">
        <f>IF('Lançamentos'!$B92&lt;&gt;"",YEAR('Lançamentos'!$B92)*100+MONTH(B92),"")</f>
        <v>202608</v>
      </c>
      <c r="D92" s="30" t="s">
        <v>181</v>
      </c>
      <c r="E92" s="40" t="str">
        <f t="array" ref="E92">IFERROR(_xlfn.XLOOKUP('Lançamentos'!$D92,Planilha1!$B$2:$B$35,Planilha1!$C$2:$C$35),0)</f>
        <v>S</v>
      </c>
      <c r="F92" s="42">
        <v>160.0</v>
      </c>
      <c r="G92" s="43" t="b">
        <v>0</v>
      </c>
      <c r="H92" s="45">
        <f>IF(AND('Análise'!$G$7="Pago",'Lançamentos'!$G92=TRUE),'Lançamentos'!$F92,IF(AND('Análise'!$G$7="Em Aberto",'Lançamentos'!$G92=FALSE),'Lançamentos'!$F92,IF('Análise'!$G$7="Todos",'Lançamentos'!$F92,0)))</f>
        <v>160</v>
      </c>
    </row>
    <row r="93" ht="15.75" customHeight="1">
      <c r="B93" s="26">
        <v>46249.0</v>
      </c>
      <c r="C93" s="27">
        <f>IF('Lançamentos'!$B93&lt;&gt;"",YEAR('Lançamentos'!$B93)*100+MONTH(B93),"")</f>
        <v>202608</v>
      </c>
      <c r="D93" s="30" t="s">
        <v>190</v>
      </c>
      <c r="E93" s="40" t="str">
        <f t="array" ref="E93">IFERROR(_xlfn.XLOOKUP('Lançamentos'!$D93,Planilha1!$B$2:$B$35,Planilha1!$C$2:$C$35),0)</f>
        <v>S</v>
      </c>
      <c r="F93" s="42">
        <v>199.59</v>
      </c>
      <c r="G93" s="43" t="b">
        <v>0</v>
      </c>
      <c r="H93" s="45">
        <f>IF(AND('Análise'!$G$7="Pago",'Lançamentos'!$G93=TRUE),'Lançamentos'!$F93,IF(AND('Análise'!$G$7="Em Aberto",'Lançamentos'!$G93=FALSE),'Lançamentos'!$F93,IF('Análise'!$G$7="Todos",'Lançamentos'!$F93,0)))</f>
        <v>199.59</v>
      </c>
    </row>
    <row r="94" ht="15.75" customHeight="1">
      <c r="B94" s="26">
        <v>46249.0</v>
      </c>
      <c r="C94" s="27">
        <f>IF('Lançamentos'!$B94&lt;&gt;"",YEAR('Lançamentos'!$B94)*100+MONTH(B94),"")</f>
        <v>202608</v>
      </c>
      <c r="D94" s="30" t="s">
        <v>192</v>
      </c>
      <c r="E94" s="40" t="str">
        <f t="array" ref="E94">IFERROR(_xlfn.XLOOKUP('Lançamentos'!$D94,Planilha1!$B$2:$B$35,Planilha1!$C$2:$C$35),0)</f>
        <v>S</v>
      </c>
      <c r="F94" s="42">
        <v>180.87</v>
      </c>
      <c r="G94" s="43" t="b">
        <v>0</v>
      </c>
      <c r="H94" s="45">
        <f>IF(AND('Análise'!$G$7="Pago",'Lançamentos'!$G94=TRUE),'Lançamentos'!$F94,IF(AND('Análise'!$G$7="Em Aberto",'Lançamentos'!$G94=FALSE),'Lançamentos'!$F94,IF('Análise'!$G$7="Todos",'Lançamentos'!$F94,0)))</f>
        <v>180.87</v>
      </c>
    </row>
    <row r="95" ht="15.75" customHeight="1">
      <c r="B95" s="26">
        <v>46249.0</v>
      </c>
      <c r="C95" s="27">
        <f>IF('Lançamentos'!$B95&lt;&gt;"",YEAR('Lançamentos'!$B95)*100+MONTH(B95),"")</f>
        <v>202608</v>
      </c>
      <c r="D95" s="30" t="s">
        <v>192</v>
      </c>
      <c r="E95" s="40" t="str">
        <f t="array" ref="E95">IFERROR(_xlfn.XLOOKUP('Lançamentos'!$D95,Planilha1!$B$2:$B$35,Planilha1!$C$2:$C$35),0)</f>
        <v>S</v>
      </c>
      <c r="F95" s="42">
        <v>77.58</v>
      </c>
      <c r="G95" s="43" t="b">
        <v>0</v>
      </c>
      <c r="H95" s="45">
        <f>IF(AND('Análise'!$G$7="Pago",'Lançamentos'!$G95=TRUE),'Lançamentos'!$F95,IF(AND('Análise'!$G$7="Em Aberto",'Lançamentos'!$G95=FALSE),'Lançamentos'!$F95,IF('Análise'!$G$7="Todos",'Lançamentos'!$F95,0)))</f>
        <v>77.58</v>
      </c>
    </row>
    <row r="96" ht="15.75" customHeight="1">
      <c r="B96" s="26">
        <v>46254.0</v>
      </c>
      <c r="C96" s="27">
        <f>IF('Lançamentos'!$B96&lt;&gt;"",YEAR('Lançamentos'!$B96)*100+MONTH(B96),"")</f>
        <v>202608</v>
      </c>
      <c r="D96" s="30" t="s">
        <v>202</v>
      </c>
      <c r="E96" s="40" t="str">
        <f t="array" ref="E96">IFERROR(_xlfn.XLOOKUP('Lançamentos'!$D96,Planilha1!$B$2:$B$35,Planilha1!$C$2:$C$35),0)</f>
        <v>S</v>
      </c>
      <c r="F96" s="42">
        <v>86.05</v>
      </c>
      <c r="G96" s="43" t="b">
        <v>0</v>
      </c>
      <c r="H96" s="45">
        <f>IF(AND('Análise'!$G$7="Pago",'Lançamentos'!$G96=TRUE),'Lançamentos'!$F96,IF(AND('Análise'!$G$7="Em Aberto",'Lançamentos'!$G96=FALSE),'Lançamentos'!$F96,IF('Análise'!$G$7="Todos",'Lançamentos'!$F96,0)))</f>
        <v>86.05</v>
      </c>
    </row>
    <row r="97" ht="15.75" customHeight="1">
      <c r="B97" s="26">
        <v>46254.0</v>
      </c>
      <c r="C97" s="27">
        <f>IF('Lançamentos'!$B97&lt;&gt;"",YEAR('Lançamentos'!$B97)*100+MONTH(B97),"")</f>
        <v>202608</v>
      </c>
      <c r="D97" s="30" t="s">
        <v>53</v>
      </c>
      <c r="E97" s="40" t="str">
        <f t="array" ref="E97">IFERROR(_xlfn.XLOOKUP('Lançamentos'!$D97,Planilha1!$B$2:$B$35,Planilha1!$C$2:$C$35),0)</f>
        <v>E</v>
      </c>
      <c r="F97" s="51">
        <v>2500.0</v>
      </c>
      <c r="G97" s="43" t="b">
        <v>0</v>
      </c>
      <c r="H97" s="45">
        <f>IF(AND('Análise'!$G$7="Pago",'Lançamentos'!$G97=TRUE),'Lançamentos'!$F97,IF(AND('Análise'!$G$7="Em Aberto",'Lançamentos'!$G97=FALSE),'Lançamentos'!$F97,IF('Análise'!$G$7="Todos",'Lançamentos'!$F97,0)))</f>
        <v>2500</v>
      </c>
    </row>
    <row r="98" ht="15.75" customHeight="1">
      <c r="B98" s="26">
        <v>46257.0</v>
      </c>
      <c r="C98" s="27">
        <f>IF('Lançamentos'!$B98&lt;&gt;"",YEAR('Lançamentos'!$B98)*100+MONTH(B98),"")</f>
        <v>202608</v>
      </c>
      <c r="D98" s="30" t="s">
        <v>183</v>
      </c>
      <c r="E98" s="40" t="str">
        <f t="array" ref="E98">IFERROR(_xlfn.XLOOKUP('Lançamentos'!$D98,Planilha1!$B$2:$B$35,Planilha1!$C$2:$C$35),0)</f>
        <v>S</v>
      </c>
      <c r="F98" s="42">
        <v>150.0</v>
      </c>
      <c r="G98" s="43" t="b">
        <v>0</v>
      </c>
      <c r="H98" s="45">
        <f>IF(AND('Análise'!$G$7="Pago",'Lançamentos'!$G98=TRUE),'Lançamentos'!$F98,IF(AND('Análise'!$G$7="Em Aberto",'Lançamentos'!$G98=FALSE),'Lançamentos'!$F98,IF('Análise'!$G$7="Todos",'Lançamentos'!$F98,0)))</f>
        <v>150</v>
      </c>
    </row>
    <row r="99" ht="15.75" customHeight="1">
      <c r="B99" s="26">
        <v>46260.0</v>
      </c>
      <c r="C99" s="27">
        <f>IF('Lançamentos'!$B99&lt;&gt;"",YEAR('Lançamentos'!$B99)*100+MONTH(B99),"")</f>
        <v>202608</v>
      </c>
      <c r="D99" s="30" t="s">
        <v>182</v>
      </c>
      <c r="E99" s="40" t="str">
        <f t="array" ref="E99">IFERROR(_xlfn.XLOOKUP('Lançamentos'!$D99,Planilha1!$B$2:$B$35,Planilha1!$C$2:$C$35),0)</f>
        <v>E</v>
      </c>
      <c r="F99" s="51">
        <v>2100.0</v>
      </c>
      <c r="G99" s="43" t="b">
        <v>0</v>
      </c>
      <c r="H99" s="45">
        <f>IF(AND('Análise'!$G$7="Pago",'Lançamentos'!$G99=TRUE),'Lançamentos'!$F99,IF(AND('Análise'!$G$7="Em Aberto",'Lançamentos'!$G99=FALSE),'Lançamentos'!$F99,IF('Análise'!$G$7="Todos",'Lançamentos'!$F99,0)))</f>
        <v>2100</v>
      </c>
    </row>
    <row r="100" ht="15.75" customHeight="1">
      <c r="B100" s="26">
        <v>46260.0</v>
      </c>
      <c r="C100" s="27">
        <f>IF('Lançamentos'!$B100&lt;&gt;"",YEAR('Lançamentos'!$B100)*100+MONTH(B100),"")</f>
        <v>202608</v>
      </c>
      <c r="D100" s="30" t="s">
        <v>194</v>
      </c>
      <c r="E100" s="40" t="str">
        <f t="array" ref="E100">IFERROR(_xlfn.XLOOKUP('Lançamentos'!$D100,Planilha1!$B$2:$B$35,Planilha1!$C$2:$C$35),0)</f>
        <v>S</v>
      </c>
      <c r="F100" s="42">
        <v>159.9</v>
      </c>
      <c r="G100" s="43" t="b">
        <v>0</v>
      </c>
      <c r="H100" s="45">
        <f>IF(AND('Análise'!$G$7="Pago",'Lançamentos'!$G100=TRUE),'Lançamentos'!$F100,IF(AND('Análise'!$G$7="Em Aberto",'Lançamentos'!$G100=FALSE),'Lançamentos'!$F100,IF('Análise'!$G$7="Todos",'Lançamentos'!$F100,0)))</f>
        <v>159.9</v>
      </c>
    </row>
    <row r="101" ht="15.75" customHeight="1">
      <c r="B101" s="26">
        <v>46261.0</v>
      </c>
      <c r="C101" s="27">
        <f>IF('Lançamentos'!$B101&lt;&gt;"",YEAR('Lançamentos'!$B101)*100+MONTH(B101),"")</f>
        <v>202608</v>
      </c>
      <c r="D101" s="30" t="s">
        <v>174</v>
      </c>
      <c r="E101" s="40" t="str">
        <f t="array" ref="E101">IFERROR(_xlfn.XLOOKUP('Lançamentos'!$D101,Planilha1!$B$2:$B$35,Planilha1!$C$2:$C$35),0)</f>
        <v>E</v>
      </c>
      <c r="F101" s="51">
        <v>1200.0</v>
      </c>
      <c r="G101" s="43" t="b">
        <v>0</v>
      </c>
      <c r="H101" s="45">
        <f>IF(AND('Análise'!$G$7="Pago",'Lançamentos'!$G101=TRUE),'Lançamentos'!$F101,IF(AND('Análise'!$G$7="Em Aberto",'Lançamentos'!$G101=FALSE),'Lançamentos'!$F101,IF('Análise'!$G$7="Todos",'Lançamentos'!$F101,0)))</f>
        <v>1200</v>
      </c>
    </row>
    <row r="102" ht="15.75" customHeight="1">
      <c r="B102" s="26">
        <v>46261.0</v>
      </c>
      <c r="C102" s="27">
        <f>IF('Lançamentos'!$B102&lt;&gt;"",YEAR('Lançamentos'!$B102)*100+MONTH(B102),"")</f>
        <v>202608</v>
      </c>
      <c r="D102" s="30" t="s">
        <v>176</v>
      </c>
      <c r="E102" s="40" t="str">
        <f t="array" ref="E102">IFERROR(_xlfn.XLOOKUP('Lançamentos'!$D102,Planilha1!$B$2:$B$35,Planilha1!$C$2:$C$35),0)</f>
        <v>S</v>
      </c>
      <c r="F102" s="42">
        <v>206.4</v>
      </c>
      <c r="G102" s="43" t="b">
        <v>0</v>
      </c>
      <c r="H102" s="45">
        <f>IF(AND('Análise'!$G$7="Pago",'Lançamentos'!$G102=TRUE),'Lançamentos'!$F102,IF(AND('Análise'!$G$7="Em Aberto",'Lançamentos'!$G102=FALSE),'Lançamentos'!$F102,IF('Análise'!$G$7="Todos",'Lançamentos'!$F102,0)))</f>
        <v>206.4</v>
      </c>
    </row>
    <row r="103" ht="15.75" customHeight="1">
      <c r="B103" s="26">
        <v>46265.0</v>
      </c>
      <c r="C103" s="27">
        <f>IF('Lançamentos'!$B103&lt;&gt;"",YEAR('Lançamentos'!$B103)*100+MONTH(B103),"")</f>
        <v>202608</v>
      </c>
      <c r="D103" s="30" t="s">
        <v>30</v>
      </c>
      <c r="E103" s="40" t="str">
        <f t="array" ref="E103">IFERROR(_xlfn.XLOOKUP('Lançamentos'!$D103,Planilha1!$B$2:$B$35,Planilha1!$C$2:$C$35),0)</f>
        <v>E</v>
      </c>
      <c r="F103" s="51">
        <v>1000.0</v>
      </c>
      <c r="G103" s="43" t="b">
        <v>0</v>
      </c>
      <c r="H103" s="45">
        <f>IF(AND('Análise'!$G$7="Pago",'Lançamentos'!$G103=TRUE),'Lançamentos'!$F103,IF(AND('Análise'!$G$7="Em Aberto",'Lançamentos'!$G103=FALSE),'Lançamentos'!$F103,IF('Análise'!$G$7="Todos",'Lançamentos'!$F103,0)))</f>
        <v>1000</v>
      </c>
    </row>
    <row r="104" ht="15.75" customHeight="1">
      <c r="B104" s="26">
        <v>46266.0</v>
      </c>
      <c r="C104" s="27">
        <f>IF('Lançamentos'!$B104&lt;&gt;"",YEAR('Lançamentos'!$B104)*100+MONTH(B104),"")</f>
        <v>202609</v>
      </c>
      <c r="D104" s="30" t="s">
        <v>178</v>
      </c>
      <c r="E104" s="40" t="str">
        <f t="array" ref="E104">IFERROR(_xlfn.XLOOKUP('Lançamentos'!$D104,Planilha1!$B$2:$B$35,Planilha1!$C$2:$C$35),0)</f>
        <v>S</v>
      </c>
      <c r="F104" s="42">
        <v>640.0</v>
      </c>
      <c r="G104" s="43" t="b">
        <v>0</v>
      </c>
      <c r="H104" s="45">
        <f>IF(AND('Análise'!$G$7="Pago",'Lançamentos'!$G104=TRUE),'Lançamentos'!$F104,IF(AND('Análise'!$G$7="Em Aberto",'Lançamentos'!$G104=FALSE),'Lançamentos'!$F104,IF('Análise'!$G$7="Todos",'Lançamentos'!$F104,0)))</f>
        <v>640</v>
      </c>
    </row>
    <row r="105" ht="15.75" customHeight="1">
      <c r="B105" s="26">
        <v>46266.0</v>
      </c>
      <c r="C105" s="27">
        <f>IF('Lançamentos'!$B105&lt;&gt;"",YEAR('Lançamentos'!$B105)*100+MONTH(B105),"")</f>
        <v>202609</v>
      </c>
      <c r="D105" s="30" t="s">
        <v>102</v>
      </c>
      <c r="E105" s="40" t="str">
        <f t="array" ref="E105">IFERROR(_xlfn.XLOOKUP('Lançamentos'!$D105,Planilha1!$B$2:$B$35,Planilha1!$C$2:$C$35),0)</f>
        <v>E</v>
      </c>
      <c r="F105" s="51">
        <v>2500.0</v>
      </c>
      <c r="G105" s="43" t="b">
        <v>0</v>
      </c>
      <c r="H105" s="45">
        <f>IF(AND('Análise'!$G$7="Pago",'Lançamentos'!$G105=TRUE),'Lançamentos'!$F105,IF(AND('Análise'!$G$7="Em Aberto",'Lançamentos'!$G105=FALSE),'Lançamentos'!$F105,IF('Análise'!$G$7="Todos",'Lançamentos'!$F105,0)))</f>
        <v>2500</v>
      </c>
    </row>
    <row r="106" ht="15.75" customHeight="1">
      <c r="B106" s="26">
        <v>46266.0</v>
      </c>
      <c r="C106" s="27">
        <f>IF('Lançamentos'!$B106&lt;&gt;"",YEAR('Lançamentos'!$B106)*100+MONTH(B106),"")</f>
        <v>202609</v>
      </c>
      <c r="D106" s="30" t="s">
        <v>142</v>
      </c>
      <c r="E106" s="40" t="str">
        <f t="array" ref="E106">IFERROR(_xlfn.XLOOKUP('Lançamentos'!$D106,Planilha1!$B$2:$B$35,Planilha1!$C$2:$C$35),0)</f>
        <v>E</v>
      </c>
      <c r="F106" s="51">
        <v>2134.0</v>
      </c>
      <c r="G106" s="43" t="b">
        <v>0</v>
      </c>
      <c r="H106" s="45">
        <f>IF(AND('Análise'!$G$7="Pago",'Lançamentos'!$G106=TRUE),'Lançamentos'!$F106,IF(AND('Análise'!$G$7="Em Aberto",'Lançamentos'!$G106=FALSE),'Lançamentos'!$F106,IF('Análise'!$G$7="Todos",'Lançamentos'!$F106,0)))</f>
        <v>2134</v>
      </c>
    </row>
    <row r="107" ht="15.75" customHeight="1">
      <c r="B107" s="26">
        <v>46267.0</v>
      </c>
      <c r="C107" s="27">
        <f>IF('Lançamentos'!$B107&lt;&gt;"",YEAR('Lançamentos'!$B107)*100+MONTH(B107),"")</f>
        <v>202609</v>
      </c>
      <c r="D107" s="30" t="s">
        <v>175</v>
      </c>
      <c r="E107" s="40" t="str">
        <f t="array" ref="E107">IFERROR(_xlfn.XLOOKUP('Lançamentos'!$D107,Planilha1!$B$2:$B$35,Planilha1!$C$2:$C$35),0)</f>
        <v>S</v>
      </c>
      <c r="F107" s="42">
        <v>2000.0</v>
      </c>
      <c r="G107" s="43" t="b">
        <v>0</v>
      </c>
      <c r="H107" s="45">
        <f>IF(AND('Análise'!$G$7="Pago",'Lançamentos'!$G107=TRUE),'Lançamentos'!$F107,IF(AND('Análise'!$G$7="Em Aberto",'Lançamentos'!$G107=FALSE),'Lançamentos'!$F107,IF('Análise'!$G$7="Todos",'Lançamentos'!$F107,0)))</f>
        <v>2000</v>
      </c>
    </row>
    <row r="108" ht="15.75" customHeight="1">
      <c r="B108" s="26">
        <v>46267.0</v>
      </c>
      <c r="C108" s="27">
        <f>IF('Lançamentos'!$B108&lt;&gt;"",YEAR('Lançamentos'!$B108)*100+MONTH(B108),"")</f>
        <v>202609</v>
      </c>
      <c r="D108" s="30" t="s">
        <v>175</v>
      </c>
      <c r="E108" s="40" t="str">
        <f t="array" ref="E108">IFERROR(_xlfn.XLOOKUP('Lançamentos'!$D108,Planilha1!$B$2:$B$35,Planilha1!$C$2:$C$35),0)</f>
        <v>S</v>
      </c>
      <c r="F108" s="42">
        <v>2000.0</v>
      </c>
      <c r="G108" s="43" t="b">
        <v>0</v>
      </c>
      <c r="H108" s="45">
        <f>IF(AND('Análise'!$G$7="Pago",'Lançamentos'!$G108=TRUE),'Lançamentos'!$F108,IF(AND('Análise'!$G$7="Em Aberto",'Lançamentos'!$G108=FALSE),'Lançamentos'!$F108,IF('Análise'!$G$7="Todos",'Lançamentos'!$F108,0)))</f>
        <v>2000</v>
      </c>
    </row>
    <row r="109" ht="15.75" customHeight="1">
      <c r="B109" s="26">
        <v>46267.0</v>
      </c>
      <c r="C109" s="27">
        <f>IF('Lançamentos'!$B109&lt;&gt;"",YEAR('Lançamentos'!$B109)*100+MONTH(B109),"")</f>
        <v>202609</v>
      </c>
      <c r="D109" s="30" t="s">
        <v>194</v>
      </c>
      <c r="E109" s="40" t="str">
        <f t="array" ref="E109">IFERROR(_xlfn.XLOOKUP('Lançamentos'!$D109,Planilha1!$B$2:$B$35,Planilha1!$C$2:$C$35),0)</f>
        <v>S</v>
      </c>
      <c r="F109" s="42">
        <v>77.8</v>
      </c>
      <c r="G109" s="43" t="b">
        <v>0</v>
      </c>
      <c r="H109" s="45">
        <f>IF(AND('Análise'!$G$7="Pago",'Lançamentos'!$G109=TRUE),'Lançamentos'!$F109,IF(AND('Análise'!$G$7="Em Aberto",'Lançamentos'!$G109=FALSE),'Lançamentos'!$F109,IF('Análise'!$G$7="Todos",'Lançamentos'!$F109,0)))</f>
        <v>77.8</v>
      </c>
    </row>
    <row r="110" ht="15.75" customHeight="1">
      <c r="B110" s="26">
        <v>46267.0</v>
      </c>
      <c r="C110" s="27">
        <f>IF('Lançamentos'!$B110&lt;&gt;"",YEAR('Lançamentos'!$B110)*100+MONTH(B110),"")</f>
        <v>202609</v>
      </c>
      <c r="D110" s="30" t="s">
        <v>183</v>
      </c>
      <c r="E110" s="40" t="str">
        <f t="array" ref="E110">IFERROR(_xlfn.XLOOKUP('Lançamentos'!$D110,Planilha1!$B$2:$B$35,Planilha1!$C$2:$C$35),0)</f>
        <v>S</v>
      </c>
      <c r="F110" s="42">
        <v>118.0</v>
      </c>
      <c r="G110" s="43" t="b">
        <v>0</v>
      </c>
      <c r="H110" s="45">
        <f>IF(AND('Análise'!$G$7="Pago",'Lançamentos'!$G110=TRUE),'Lançamentos'!$F110,IF(AND('Análise'!$G$7="Em Aberto",'Lançamentos'!$G110=FALSE),'Lançamentos'!$F110,IF('Análise'!$G$7="Todos",'Lançamentos'!$F110,0)))</f>
        <v>118</v>
      </c>
    </row>
    <row r="111" ht="15.75" customHeight="1">
      <c r="B111" s="26">
        <v>46268.0</v>
      </c>
      <c r="C111" s="27">
        <f>IF('Lançamentos'!$B111&lt;&gt;"",YEAR('Lançamentos'!$B111)*100+MONTH(B111),"")</f>
        <v>202609</v>
      </c>
      <c r="D111" s="30" t="s">
        <v>196</v>
      </c>
      <c r="E111" s="40" t="str">
        <f t="array" ref="E111">IFERROR(_xlfn.XLOOKUP('Lançamentos'!$D111,Planilha1!$B$2:$B$35,Planilha1!$C$2:$C$35),0)</f>
        <v>S</v>
      </c>
      <c r="F111" s="42">
        <v>206.4</v>
      </c>
      <c r="G111" s="43" t="b">
        <v>0</v>
      </c>
      <c r="H111" s="45">
        <f>IF(AND('Análise'!$G$7="Pago",'Lançamentos'!$G111=TRUE),'Lançamentos'!$F111,IF(AND('Análise'!$G$7="Em Aberto",'Lançamentos'!$G111=FALSE),'Lançamentos'!$F111,IF('Análise'!$G$7="Todos",'Lançamentos'!$F111,0)))</f>
        <v>206.4</v>
      </c>
    </row>
    <row r="112" ht="15.75" customHeight="1">
      <c r="B112" s="26">
        <v>46268.0</v>
      </c>
      <c r="C112" s="27">
        <f>IF('Lançamentos'!$B112&lt;&gt;"",YEAR('Lançamentos'!$B112)*100+MONTH(B112),"")</f>
        <v>202609</v>
      </c>
      <c r="D112" s="30" t="s">
        <v>194</v>
      </c>
      <c r="E112" s="40" t="str">
        <f t="array" ref="E112">IFERROR(_xlfn.XLOOKUP('Lançamentos'!$D112,Planilha1!$B$2:$B$35,Planilha1!$C$2:$C$35),0)</f>
        <v>S</v>
      </c>
      <c r="F112" s="42">
        <v>110.0</v>
      </c>
      <c r="G112" s="43" t="b">
        <v>0</v>
      </c>
      <c r="H112" s="45">
        <f>IF(AND('Análise'!$G$7="Pago",'Lançamentos'!$G112=TRUE),'Lançamentos'!$F112,IF(AND('Análise'!$G$7="Em Aberto",'Lançamentos'!$G112=FALSE),'Lançamentos'!$F112,IF('Análise'!$G$7="Todos",'Lançamentos'!$F112,0)))</f>
        <v>110</v>
      </c>
    </row>
    <row r="113" ht="15.75" customHeight="1">
      <c r="B113" s="26">
        <v>46271.0</v>
      </c>
      <c r="C113" s="27">
        <f>IF('Lançamentos'!$B113&lt;&gt;"",YEAR('Lançamentos'!$B113)*100+MONTH(B113),"")</f>
        <v>202609</v>
      </c>
      <c r="D113" s="30" t="s">
        <v>194</v>
      </c>
      <c r="E113" s="40" t="str">
        <f t="array" ref="E113">IFERROR(_xlfn.XLOOKUP('Lançamentos'!$D113,Planilha1!$B$2:$B$35,Planilha1!$C$2:$C$35),0)</f>
        <v>S</v>
      </c>
      <c r="F113" s="42">
        <v>834.7</v>
      </c>
      <c r="G113" s="43" t="b">
        <v>0</v>
      </c>
      <c r="H113" s="45">
        <f>IF(AND('Análise'!$G$7="Pago",'Lançamentos'!$G113=TRUE),'Lançamentos'!$F113,IF(AND('Análise'!$G$7="Em Aberto",'Lançamentos'!$G113=FALSE),'Lançamentos'!$F113,IF('Análise'!$G$7="Todos",'Lançamentos'!$F113,0)))</f>
        <v>834.7</v>
      </c>
    </row>
    <row r="114" ht="15.75" customHeight="1">
      <c r="B114" s="26">
        <v>46273.0</v>
      </c>
      <c r="C114" s="27">
        <f>IF('Lançamentos'!$B114&lt;&gt;"",YEAR('Lançamentos'!$B114)*100+MONTH(B114),"")</f>
        <v>202609</v>
      </c>
      <c r="D114" s="30" t="s">
        <v>187</v>
      </c>
      <c r="E114" s="40" t="str">
        <f t="array" ref="E114">IFERROR(_xlfn.XLOOKUP('Lançamentos'!$D114,Planilha1!$B$2:$B$35,Planilha1!$C$2:$C$35),0)</f>
        <v>E</v>
      </c>
      <c r="F114" s="51">
        <v>4600.0</v>
      </c>
      <c r="G114" s="43" t="b">
        <v>0</v>
      </c>
      <c r="H114" s="45">
        <f>IF(AND('Análise'!$G$7="Pago",'Lançamentos'!$G114=TRUE),'Lançamentos'!$F114,IF(AND('Análise'!$G$7="Em Aberto",'Lançamentos'!$G114=FALSE),'Lançamentos'!$F114,IF('Análise'!$G$7="Todos",'Lançamentos'!$F114,0)))</f>
        <v>4600</v>
      </c>
    </row>
    <row r="115" ht="15.75" customHeight="1">
      <c r="B115" s="26">
        <v>46273.0</v>
      </c>
      <c r="C115" s="27">
        <f>IF('Lançamentos'!$B115&lt;&gt;"",YEAR('Lançamentos'!$B115)*100+MONTH(B115),"")</f>
        <v>202609</v>
      </c>
      <c r="D115" s="30" t="s">
        <v>181</v>
      </c>
      <c r="E115" s="40" t="str">
        <f t="array" ref="E115">IFERROR(_xlfn.XLOOKUP('Lançamentos'!$D115,Planilha1!$B$2:$B$35,Planilha1!$C$2:$C$35),0)</f>
        <v>S</v>
      </c>
      <c r="F115" s="42">
        <v>1000.0</v>
      </c>
      <c r="G115" s="43" t="b">
        <v>0</v>
      </c>
      <c r="H115" s="45">
        <f>IF(AND('Análise'!$G$7="Pago",'Lançamentos'!$G115=TRUE),'Lançamentos'!$F115,IF(AND('Análise'!$G$7="Em Aberto",'Lançamentos'!$G115=FALSE),'Lançamentos'!$F115,IF('Análise'!$G$7="Todos",'Lançamentos'!$F115,0)))</f>
        <v>1000</v>
      </c>
    </row>
    <row r="116" ht="15.75" customHeight="1">
      <c r="B116" s="26">
        <v>46273.0</v>
      </c>
      <c r="C116" s="27">
        <f>IF('Lançamentos'!$B116&lt;&gt;"",YEAR('Lançamentos'!$B116)*100+MONTH(B116),"")</f>
        <v>202609</v>
      </c>
      <c r="D116" s="30" t="s">
        <v>175</v>
      </c>
      <c r="E116" s="40" t="str">
        <f t="array" ref="E116">IFERROR(_xlfn.XLOOKUP('Lançamentos'!$D116,Planilha1!$B$2:$B$35,Planilha1!$C$2:$C$35),0)</f>
        <v>S</v>
      </c>
      <c r="F116" s="42">
        <v>4850.0</v>
      </c>
      <c r="G116" s="43" t="b">
        <v>0</v>
      </c>
      <c r="H116" s="45">
        <f>IF(AND('Análise'!$G$7="Pago",'Lançamentos'!$G116=TRUE),'Lançamentos'!$F116,IF(AND('Análise'!$G$7="Em Aberto",'Lançamentos'!$G116=FALSE),'Lançamentos'!$F116,IF('Análise'!$G$7="Todos",'Lançamentos'!$F116,0)))</f>
        <v>4850</v>
      </c>
    </row>
    <row r="117" ht="15.75" customHeight="1">
      <c r="B117" s="26">
        <v>46273.0</v>
      </c>
      <c r="C117" s="27">
        <f>IF('Lançamentos'!$B117&lt;&gt;"",YEAR('Lançamentos'!$B117)*100+MONTH(B117),"")</f>
        <v>202609</v>
      </c>
      <c r="D117" s="30" t="s">
        <v>175</v>
      </c>
      <c r="E117" s="40" t="str">
        <f t="array" ref="E117">IFERROR(_xlfn.XLOOKUP('Lançamentos'!$D117,Planilha1!$B$2:$B$35,Planilha1!$C$2:$C$35),0)</f>
        <v>S</v>
      </c>
      <c r="F117" s="42">
        <v>5000.0</v>
      </c>
      <c r="G117" s="43" t="b">
        <v>0</v>
      </c>
      <c r="H117" s="45">
        <f>IF(AND('Análise'!$G$7="Pago",'Lançamentos'!$G117=TRUE),'Lançamentos'!$F117,IF(AND('Análise'!$G$7="Em Aberto",'Lançamentos'!$G117=FALSE),'Lançamentos'!$F117,IF('Análise'!$G$7="Todos",'Lançamentos'!$F117,0)))</f>
        <v>5000</v>
      </c>
    </row>
    <row r="118" ht="15.75" customHeight="1">
      <c r="B118" s="26">
        <v>46243.0</v>
      </c>
      <c r="C118" s="27">
        <f>IF('Lançamentos'!$B118&lt;&gt;"",YEAR('Lançamentos'!$B118)*100+MONTH(B118),"")</f>
        <v>202608</v>
      </c>
      <c r="D118" s="30" t="s">
        <v>198</v>
      </c>
      <c r="E118" s="40" t="str">
        <f t="array" ref="E118">IFERROR(_xlfn.XLOOKUP('Lançamentos'!$D118,Planilha1!$B$2:$B$35,Planilha1!$C$2:$C$35),0)</f>
        <v>E</v>
      </c>
      <c r="F118" s="51">
        <v>148.0</v>
      </c>
      <c r="G118" s="43" t="b">
        <v>0</v>
      </c>
      <c r="H118" s="45">
        <f>IF(AND('Análise'!$G$7="Pago",'Lançamentos'!$G118=TRUE),'Lançamentos'!$F118,IF(AND('Análise'!$G$7="Em Aberto",'Lançamentos'!$G118=FALSE),'Lançamentos'!$F118,IF('Análise'!$G$7="Todos",'Lançamentos'!$F118,0)))</f>
        <v>148</v>
      </c>
    </row>
    <row r="119" ht="15.75" customHeight="1">
      <c r="B119" s="26">
        <v>46273.0</v>
      </c>
      <c r="C119" s="27">
        <f>IF('Lançamentos'!$B119&lt;&gt;"",YEAR('Lançamentos'!$B119)*100+MONTH(B119),"")</f>
        <v>202609</v>
      </c>
      <c r="D119" s="30" t="s">
        <v>177</v>
      </c>
      <c r="E119" s="40" t="str">
        <f t="array" ref="E119">IFERROR(_xlfn.XLOOKUP('Lançamentos'!$D119,Planilha1!$B$2:$B$35,Planilha1!$C$2:$C$35),0)</f>
        <v>E</v>
      </c>
      <c r="F119" s="51">
        <v>5500.0</v>
      </c>
      <c r="G119" s="43" t="b">
        <v>0</v>
      </c>
      <c r="H119" s="45">
        <f>IF(AND('Análise'!$G$7="Pago",'Lançamentos'!$G119=TRUE),'Lançamentos'!$F119,IF(AND('Análise'!$G$7="Em Aberto",'Lançamentos'!$G119=FALSE),'Lançamentos'!$F119,IF('Análise'!$G$7="Todos",'Lançamentos'!$F119,0)))</f>
        <v>5500</v>
      </c>
    </row>
    <row r="120" ht="15.75" customHeight="1">
      <c r="B120" s="26">
        <v>46273.0</v>
      </c>
      <c r="C120" s="27">
        <f>IF('Lançamentos'!$B120&lt;&gt;"",YEAR('Lançamentos'!$B120)*100+MONTH(B120),"")</f>
        <v>202609</v>
      </c>
      <c r="D120" s="30" t="s">
        <v>183</v>
      </c>
      <c r="E120" s="40" t="str">
        <f t="array" ref="E120">IFERROR(_xlfn.XLOOKUP('Lançamentos'!$D120,Planilha1!$B$2:$B$35,Planilha1!$C$2:$C$35),0)</f>
        <v>S</v>
      </c>
      <c r="F120" s="42">
        <v>2698.0</v>
      </c>
      <c r="G120" s="43" t="b">
        <v>0</v>
      </c>
      <c r="H120" s="45">
        <f>IF(AND('Análise'!$G$7="Pago",'Lançamentos'!$G120=TRUE),'Lançamentos'!$F120,IF(AND('Análise'!$G$7="Em Aberto",'Lançamentos'!$G120=FALSE),'Lançamentos'!$F120,IF('Análise'!$G$7="Todos",'Lançamentos'!$F120,0)))</f>
        <v>2698</v>
      </c>
    </row>
    <row r="121" ht="15.75" customHeight="1">
      <c r="B121" s="26">
        <v>46273.0</v>
      </c>
      <c r="C121" s="27">
        <f>IF('Lançamentos'!$B121&lt;&gt;"",YEAR('Lançamentos'!$B121)*100+MONTH(B121),"")</f>
        <v>202609</v>
      </c>
      <c r="D121" s="30" t="s">
        <v>179</v>
      </c>
      <c r="E121" s="40" t="str">
        <f t="array" ref="E121">IFERROR(_xlfn.XLOOKUP('Lançamentos'!$D121,Planilha1!$B$2:$B$35,Planilha1!$C$2:$C$35),0)</f>
        <v>S</v>
      </c>
      <c r="F121" s="42">
        <v>3600.0</v>
      </c>
      <c r="G121" s="43" t="b">
        <v>0</v>
      </c>
      <c r="H121" s="45">
        <f>IF(AND('Análise'!$G$7="Pago",'Lançamentos'!$G121=TRUE),'Lançamentos'!$F121,IF(AND('Análise'!$G$7="Em Aberto",'Lançamentos'!$G121=FALSE),'Lançamentos'!$F121,IF('Análise'!$G$7="Todos",'Lançamentos'!$F121,0)))</f>
        <v>3600</v>
      </c>
    </row>
    <row r="122" ht="15.75" customHeight="1">
      <c r="B122" s="26">
        <v>46273.0</v>
      </c>
      <c r="C122" s="27">
        <f>IF('Lançamentos'!$B122&lt;&gt;"",YEAR('Lançamentos'!$B122)*100+MONTH(B122),"")</f>
        <v>202609</v>
      </c>
      <c r="D122" s="30" t="s">
        <v>189</v>
      </c>
      <c r="E122" s="40" t="str">
        <f t="array" ref="E122">IFERROR(_xlfn.XLOOKUP('Lançamentos'!$D122,Planilha1!$B$2:$B$35,Planilha1!$C$2:$C$35),0)</f>
        <v>E</v>
      </c>
      <c r="F122" s="51">
        <v>400.0</v>
      </c>
      <c r="G122" s="43" t="b">
        <v>0</v>
      </c>
      <c r="H122" s="45">
        <f>IF(AND('Análise'!$G$7="Pago",'Lançamentos'!$G122=TRUE),'Lançamentos'!$F122,IF(AND('Análise'!$G$7="Em Aberto",'Lançamentos'!$G122=FALSE),'Lançamentos'!$F122,IF('Análise'!$G$7="Todos",'Lançamentos'!$F122,0)))</f>
        <v>400</v>
      </c>
    </row>
    <row r="123" ht="15.75" customHeight="1">
      <c r="B123" s="26">
        <v>46274.0</v>
      </c>
      <c r="C123" s="27">
        <f>IF('Lançamentos'!$B123&lt;&gt;"",YEAR('Lançamentos'!$B123)*100+MONTH(B123),"")</f>
        <v>202609</v>
      </c>
      <c r="D123" s="30" t="s">
        <v>201</v>
      </c>
      <c r="E123" s="40" t="str">
        <f t="array" ref="E123">IFERROR(_xlfn.XLOOKUP('Lançamentos'!$D123,Planilha1!$B$2:$B$35,Planilha1!$C$2:$C$35),0)</f>
        <v>E</v>
      </c>
      <c r="F123" s="51">
        <v>5500.0</v>
      </c>
      <c r="G123" s="43" t="b">
        <v>0</v>
      </c>
      <c r="H123" s="45">
        <f>IF(AND('Análise'!$G$7="Pago",'Lançamentos'!$G123=TRUE),'Lançamentos'!$F123,IF(AND('Análise'!$G$7="Em Aberto",'Lançamentos'!$G123=FALSE),'Lançamentos'!$F123,IF('Análise'!$G$7="Todos",'Lançamentos'!$F123,0)))</f>
        <v>5500</v>
      </c>
    </row>
    <row r="124" ht="15.75" customHeight="1">
      <c r="B124" s="26">
        <v>46274.0</v>
      </c>
      <c r="C124" s="27">
        <f>IF('Lançamentos'!$B124&lt;&gt;"",YEAR('Lançamentos'!$B124)*100+MONTH(B124),"")</f>
        <v>202609</v>
      </c>
      <c r="D124" s="30" t="s">
        <v>199</v>
      </c>
      <c r="E124" s="40" t="str">
        <f t="array" ref="E124">IFERROR(_xlfn.XLOOKUP('Lançamentos'!$D124,Planilha1!$B$2:$B$35,Planilha1!$C$2:$C$35),0)</f>
        <v>S</v>
      </c>
      <c r="F124" s="42">
        <v>199.0</v>
      </c>
      <c r="G124" s="43" t="b">
        <v>0</v>
      </c>
      <c r="H124" s="45">
        <f>IF(AND('Análise'!$G$7="Pago",'Lançamentos'!$G124=TRUE),'Lançamentos'!$F124,IF(AND('Análise'!$G$7="Em Aberto",'Lançamentos'!$G124=FALSE),'Lançamentos'!$F124,IF('Análise'!$G$7="Todos",'Lançamentos'!$F124,0)))</f>
        <v>199</v>
      </c>
    </row>
    <row r="125" ht="15.75" customHeight="1">
      <c r="B125" s="52"/>
      <c r="C125" s="27" t="str">
        <f>IF('Lançamentos'!$B125&lt;&gt;"",YEAR('Lançamentos'!$B125)*100+MONTH(B125),"")</f>
        <v/>
      </c>
      <c r="D125" s="83"/>
      <c r="E125" s="40">
        <f t="array" ref="E125">IFERROR(_xlfn.XLOOKUP('Lançamentos'!$D125,Planilha1!$B$2:$B$35,Planilha1!$C$2:$C$35),0)</f>
        <v>0</v>
      </c>
      <c r="F125" s="84"/>
      <c r="G125" s="43" t="b">
        <v>0</v>
      </c>
      <c r="H125" s="45" t="str">
        <f>IF(AND('Análise'!$G$7="Pago",'Lançamentos'!$G125=TRUE),'Lançamentos'!$F125,IF(AND('Análise'!$G$7="Em Aberto",'Lançamentos'!$G125=FALSE),'Lançamentos'!$F125,IF('Análise'!$G$7="Todos",'Lançamentos'!$F125,0)))</f>
        <v/>
      </c>
    </row>
    <row r="126" ht="15.75" customHeight="1">
      <c r="B126" s="52"/>
      <c r="C126" s="27" t="str">
        <f>IF('Lançamentos'!$B126&lt;&gt;"",YEAR('Lançamentos'!$B126)*100+MONTH(B126),"")</f>
        <v/>
      </c>
      <c r="D126" s="83"/>
      <c r="E126" s="40">
        <f t="array" ref="E126">IFERROR(_xlfn.XLOOKUP('Lançamentos'!$D126,Planilha1!$B$2:$B$35,Planilha1!$C$2:$C$35),0)</f>
        <v>0</v>
      </c>
      <c r="F126" s="84"/>
      <c r="G126" s="43" t="b">
        <v>0</v>
      </c>
      <c r="H126" s="45" t="str">
        <f>IF(AND('Análise'!$G$7="Pago",'Lançamentos'!$G126=TRUE),'Lançamentos'!$F126,IF(AND('Análise'!$G$7="Em Aberto",'Lançamentos'!$G126=FALSE),'Lançamentos'!$F126,IF('Análise'!$G$7="Todos",'Lançamentos'!$F126,0)))</f>
        <v/>
      </c>
    </row>
    <row r="127" ht="15.75" customHeight="1">
      <c r="B127" s="52"/>
      <c r="C127" s="27" t="str">
        <f>IF('Lançamentos'!$B127&lt;&gt;"",YEAR('Lançamentos'!$B127)*100+MONTH(B127),"")</f>
        <v/>
      </c>
      <c r="D127" s="83"/>
      <c r="E127" s="40">
        <f t="array" ref="E127">IFERROR(_xlfn.XLOOKUP('Lançamentos'!$D127,Planilha1!$B$2:$B$35,Planilha1!$C$2:$C$35),0)</f>
        <v>0</v>
      </c>
      <c r="F127" s="84"/>
      <c r="G127" s="43" t="b">
        <v>0</v>
      </c>
      <c r="H127" s="45" t="str">
        <f>IF(AND('Análise'!$G$7="Pago",'Lançamentos'!$G127=TRUE),'Lançamentos'!$F127,IF(AND('Análise'!$G$7="Em Aberto",'Lançamentos'!$G127=FALSE),'Lançamentos'!$F127,IF('Análise'!$G$7="Todos",'Lançamentos'!$F127,0)))</f>
        <v/>
      </c>
    </row>
    <row r="128" ht="15.75" customHeight="1">
      <c r="B128" s="52"/>
      <c r="C128" s="27" t="str">
        <f>IF('Lançamentos'!$B128&lt;&gt;"",YEAR('Lançamentos'!$B128)*100+MONTH(B128),"")</f>
        <v/>
      </c>
      <c r="D128" s="83"/>
      <c r="E128" s="40">
        <f t="array" ref="E128">IFERROR(_xlfn.XLOOKUP('Lançamentos'!$D128,Planilha1!$B$2:$B$35,Planilha1!$C$2:$C$35),0)</f>
        <v>0</v>
      </c>
      <c r="F128" s="84"/>
      <c r="G128" s="43" t="b">
        <v>0</v>
      </c>
      <c r="H128" s="45" t="str">
        <f>IF(AND('Análise'!$G$7="Pago",'Lançamentos'!$G128=TRUE),'Lançamentos'!$F128,IF(AND('Análise'!$G$7="Em Aberto",'Lançamentos'!$G128=FALSE),'Lançamentos'!$F128,IF('Análise'!$G$7="Todos",'Lançamentos'!$F128,0)))</f>
        <v/>
      </c>
    </row>
    <row r="129" ht="15.75" customHeight="1">
      <c r="B129" s="52"/>
      <c r="C129" s="27" t="str">
        <f>IF('Lançamentos'!$B129&lt;&gt;"",YEAR('Lançamentos'!$B129)*100+MONTH(B129),"")</f>
        <v/>
      </c>
      <c r="D129" s="83"/>
      <c r="E129" s="40">
        <f t="array" ref="E129">IFERROR(_xlfn.XLOOKUP('Lançamentos'!$D129,Planilha1!$B$2:$B$35,Planilha1!$C$2:$C$35),0)</f>
        <v>0</v>
      </c>
      <c r="F129" s="84"/>
      <c r="G129" s="43" t="b">
        <v>0</v>
      </c>
      <c r="H129" s="45" t="str">
        <f>IF(AND('Análise'!$G$7="Pago",'Lançamentos'!$G129=TRUE),'Lançamentos'!$F129,IF(AND('Análise'!$G$7="Em Aberto",'Lançamentos'!$G129=FALSE),'Lançamentos'!$F129,IF('Análise'!$G$7="Todos",'Lançamentos'!$F129,0)))</f>
        <v/>
      </c>
    </row>
    <row r="130" ht="15.75" customHeight="1">
      <c r="B130" s="52"/>
      <c r="C130" s="27" t="str">
        <f>IF('Lançamentos'!$B130&lt;&gt;"",YEAR('Lançamentos'!$B130)*100+MONTH(B130),"")</f>
        <v/>
      </c>
      <c r="D130" s="83"/>
      <c r="E130" s="40">
        <f t="array" ref="E130">IFERROR(_xlfn.XLOOKUP('Lançamentos'!$D130,Planilha1!$B$2:$B$35,Planilha1!$C$2:$C$35),0)</f>
        <v>0</v>
      </c>
      <c r="F130" s="84"/>
      <c r="G130" s="43" t="b">
        <v>0</v>
      </c>
      <c r="H130" s="45" t="str">
        <f>IF(AND('Análise'!$G$7="Pago",'Lançamentos'!$G130=TRUE),'Lançamentos'!$F130,IF(AND('Análise'!$G$7="Em Aberto",'Lançamentos'!$G130=FALSE),'Lançamentos'!$F130,IF('Análise'!$G$7="Todos",'Lançamentos'!$F130,0)))</f>
        <v/>
      </c>
    </row>
    <row r="131" ht="15.75" customHeight="1">
      <c r="B131" s="52"/>
      <c r="C131" s="27" t="str">
        <f>IF('Lançamentos'!$B131&lt;&gt;"",YEAR('Lançamentos'!$B131)*100+MONTH(B131),"")</f>
        <v/>
      </c>
      <c r="D131" s="83"/>
      <c r="E131" s="40">
        <f t="array" ref="E131">IFERROR(_xlfn.XLOOKUP('Lançamentos'!$D131,Planilha1!$B$2:$B$35,Planilha1!$C$2:$C$35),0)</f>
        <v>0</v>
      </c>
      <c r="F131" s="84"/>
      <c r="G131" s="43" t="b">
        <v>0</v>
      </c>
      <c r="H131" s="45" t="str">
        <f>IF(AND('Análise'!$G$7="Pago",'Lançamentos'!$G131=TRUE),'Lançamentos'!$F131,IF(AND('Análise'!$G$7="Em Aberto",'Lançamentos'!$G131=FALSE),'Lançamentos'!$F131,IF('Análise'!$G$7="Todos",'Lançamentos'!$F131,0)))</f>
        <v/>
      </c>
    </row>
    <row r="132" ht="15.75" customHeight="1">
      <c r="B132" s="52"/>
      <c r="C132" s="27" t="str">
        <f>IF('Lançamentos'!$B132&lt;&gt;"",YEAR('Lançamentos'!$B132)*100+MONTH(B132),"")</f>
        <v/>
      </c>
      <c r="D132" s="83"/>
      <c r="E132" s="40">
        <f t="array" ref="E132">IFERROR(_xlfn.XLOOKUP('Lançamentos'!$D132,Planilha1!$B$2:$B$35,Planilha1!$C$2:$C$35),0)</f>
        <v>0</v>
      </c>
      <c r="F132" s="84"/>
      <c r="G132" s="43" t="b">
        <v>0</v>
      </c>
      <c r="H132" s="45" t="str">
        <f>IF(AND('Análise'!$G$7="Pago",'Lançamentos'!$G132=TRUE),'Lançamentos'!$F132,IF(AND('Análise'!$G$7="Em Aberto",'Lançamentos'!$G132=FALSE),'Lançamentos'!$F132,IF('Análise'!$G$7="Todos",'Lançamentos'!$F132,0)))</f>
        <v/>
      </c>
    </row>
    <row r="133" ht="15.75" customHeight="1">
      <c r="B133" s="52"/>
      <c r="C133" s="27" t="str">
        <f>IF('Lançamentos'!$B133&lt;&gt;"",YEAR('Lançamentos'!$B133)*100+MONTH(B133),"")</f>
        <v/>
      </c>
      <c r="D133" s="83"/>
      <c r="E133" s="40">
        <f t="array" ref="E133">IFERROR(_xlfn.XLOOKUP('Lançamentos'!$D133,Planilha1!$B$2:$B$35,Planilha1!$C$2:$C$35),0)</f>
        <v>0</v>
      </c>
      <c r="F133" s="84"/>
      <c r="G133" s="43" t="b">
        <v>0</v>
      </c>
      <c r="H133" s="45" t="str">
        <f>IF(AND('Análise'!$G$7="Pago",'Lançamentos'!$G133=TRUE),'Lançamentos'!$F133,IF(AND('Análise'!$G$7="Em Aberto",'Lançamentos'!$G133=FALSE),'Lançamentos'!$F133,IF('Análise'!$G$7="Todos",'Lançamentos'!$F133,0)))</f>
        <v/>
      </c>
    </row>
    <row r="134" ht="15.75" customHeight="1">
      <c r="B134" s="52"/>
      <c r="C134" s="27" t="str">
        <f>IF('Lançamentos'!$B134&lt;&gt;"",YEAR('Lançamentos'!$B134)*100+MONTH(B134),"")</f>
        <v/>
      </c>
      <c r="D134" s="83"/>
      <c r="E134" s="40">
        <f t="array" ref="E134">IFERROR(_xlfn.XLOOKUP('Lançamentos'!$D134,Planilha1!$B$2:$B$35,Planilha1!$C$2:$C$35),0)</f>
        <v>0</v>
      </c>
      <c r="F134" s="84"/>
      <c r="G134" s="43" t="b">
        <v>0</v>
      </c>
      <c r="H134" s="45" t="str">
        <f>IF(AND('Análise'!$G$7="Pago",'Lançamentos'!$G134=TRUE),'Lançamentos'!$F134,IF(AND('Análise'!$G$7="Em Aberto",'Lançamentos'!$G134=FALSE),'Lançamentos'!$F134,IF('Análise'!$G$7="Todos",'Lançamentos'!$F134,0)))</f>
        <v/>
      </c>
    </row>
    <row r="135" ht="15.75" customHeight="1">
      <c r="B135" s="52"/>
      <c r="C135" s="27" t="str">
        <f>IF('Lançamentos'!$B135&lt;&gt;"",YEAR('Lançamentos'!$B135)*100+MONTH(B135),"")</f>
        <v/>
      </c>
      <c r="D135" s="83"/>
      <c r="E135" s="40">
        <f t="array" ref="E135">IFERROR(_xlfn.XLOOKUP('Lançamentos'!$D135,Planilha1!$B$2:$B$35,Planilha1!$C$2:$C$35),0)</f>
        <v>0</v>
      </c>
      <c r="F135" s="84"/>
      <c r="G135" s="43" t="b">
        <v>0</v>
      </c>
      <c r="H135" s="45" t="str">
        <f>IF(AND('Análise'!$G$7="Pago",'Lançamentos'!$G135=TRUE),'Lançamentos'!$F135,IF(AND('Análise'!$G$7="Em Aberto",'Lançamentos'!$G135=FALSE),'Lançamentos'!$F135,IF('Análise'!$G$7="Todos",'Lançamentos'!$F135,0)))</f>
        <v/>
      </c>
    </row>
    <row r="136" ht="15.75" customHeight="1">
      <c r="B136" s="52"/>
      <c r="C136" s="27" t="str">
        <f>IF('Lançamentos'!$B136&lt;&gt;"",YEAR('Lançamentos'!$B136)*100+MONTH(B136),"")</f>
        <v/>
      </c>
      <c r="D136" s="83"/>
      <c r="E136" s="40">
        <f t="array" ref="E136">IFERROR(_xlfn.XLOOKUP('Lançamentos'!$D136,Planilha1!$B$2:$B$35,Planilha1!$C$2:$C$35),0)</f>
        <v>0</v>
      </c>
      <c r="F136" s="84"/>
      <c r="G136" s="43" t="b">
        <v>0</v>
      </c>
      <c r="H136" s="45" t="str">
        <f>IF(AND('Análise'!$G$7="Pago",'Lançamentos'!$G136=TRUE),'Lançamentos'!$F136,IF(AND('Análise'!$G$7="Em Aberto",'Lançamentos'!$G136=FALSE),'Lançamentos'!$F136,IF('Análise'!$G$7="Todos",'Lançamentos'!$F136,0)))</f>
        <v/>
      </c>
    </row>
    <row r="137" ht="15.75" customHeight="1">
      <c r="B137" s="52"/>
      <c r="C137" s="27" t="str">
        <f>IF('Lançamentos'!$B137&lt;&gt;"",YEAR('Lançamentos'!$B137)*100+MONTH(B137),"")</f>
        <v/>
      </c>
      <c r="D137" s="83"/>
      <c r="E137" s="40">
        <f t="array" ref="E137">IFERROR(_xlfn.XLOOKUP('Lançamentos'!$D137,Planilha1!$B$2:$B$35,Planilha1!$C$2:$C$35),0)</f>
        <v>0</v>
      </c>
      <c r="F137" s="84"/>
      <c r="G137" s="43" t="b">
        <v>0</v>
      </c>
      <c r="H137" s="45" t="str">
        <f>IF(AND('Análise'!$G$7="Pago",'Lançamentos'!$G137=TRUE),'Lançamentos'!$F137,IF(AND('Análise'!$G$7="Em Aberto",'Lançamentos'!$G137=FALSE),'Lançamentos'!$F137,IF('Análise'!$G$7="Todos",'Lançamentos'!$F137,0)))</f>
        <v/>
      </c>
    </row>
    <row r="138" ht="15.75" customHeight="1">
      <c r="B138" s="52"/>
      <c r="C138" s="27" t="str">
        <f>IF('Lançamentos'!$B138&lt;&gt;"",YEAR('Lançamentos'!$B138)*100+MONTH(B138),"")</f>
        <v/>
      </c>
      <c r="D138" s="83"/>
      <c r="E138" s="40">
        <f t="array" ref="E138">IFERROR(_xlfn.XLOOKUP('Lançamentos'!$D138,Planilha1!$B$2:$B$35,Planilha1!$C$2:$C$35),0)</f>
        <v>0</v>
      </c>
      <c r="F138" s="84"/>
      <c r="G138" s="43" t="b">
        <v>0</v>
      </c>
      <c r="H138" s="45" t="str">
        <f>IF(AND('Análise'!$G$7="Pago",'Lançamentos'!$G138=TRUE),'Lançamentos'!$F138,IF(AND('Análise'!$G$7="Em Aberto",'Lançamentos'!$G138=FALSE),'Lançamentos'!$F138,IF('Análise'!$G$7="Todos",'Lançamentos'!$F138,0)))</f>
        <v/>
      </c>
    </row>
    <row r="139" ht="15.75" customHeight="1">
      <c r="B139" s="52"/>
      <c r="C139" s="27" t="str">
        <f>IF('Lançamentos'!$B139&lt;&gt;"",YEAR('Lançamentos'!$B139)*100+MONTH(B139),"")</f>
        <v/>
      </c>
      <c r="D139" s="83"/>
      <c r="E139" s="40">
        <f t="array" ref="E139">IFERROR(_xlfn.XLOOKUP('Lançamentos'!$D139,Planilha1!$B$2:$B$35,Planilha1!$C$2:$C$35),0)</f>
        <v>0</v>
      </c>
      <c r="F139" s="84"/>
      <c r="G139" s="43" t="b">
        <v>0</v>
      </c>
      <c r="H139" s="45" t="str">
        <f>IF(AND('Análise'!$G$7="Pago",'Lançamentos'!$G139=TRUE),'Lançamentos'!$F139,IF(AND('Análise'!$G$7="Em Aberto",'Lançamentos'!$G139=FALSE),'Lançamentos'!$F139,IF('Análise'!$G$7="Todos",'Lançamentos'!$F139,0)))</f>
        <v/>
      </c>
    </row>
    <row r="140" ht="15.75" customHeight="1">
      <c r="B140" s="52"/>
      <c r="C140" s="27" t="str">
        <f>IF('Lançamentos'!$B140&lt;&gt;"",YEAR('Lançamentos'!$B140)*100+MONTH(B140),"")</f>
        <v/>
      </c>
      <c r="D140" s="83"/>
      <c r="E140" s="40">
        <f t="array" ref="E140">IFERROR(_xlfn.XLOOKUP('Lançamentos'!$D140,Planilha1!$B$2:$B$35,Planilha1!$C$2:$C$35),0)</f>
        <v>0</v>
      </c>
      <c r="F140" s="84"/>
      <c r="G140" s="43" t="b">
        <v>0</v>
      </c>
      <c r="H140" s="45" t="str">
        <f>IF(AND('Análise'!$G$7="Pago",'Lançamentos'!$G140=TRUE),'Lançamentos'!$F140,IF(AND('Análise'!$G$7="Em Aberto",'Lançamentos'!$G140=FALSE),'Lançamentos'!$F140,IF('Análise'!$G$7="Todos",'Lançamentos'!$F140,0)))</f>
        <v/>
      </c>
    </row>
    <row r="141" ht="15.75" customHeight="1">
      <c r="B141" s="52"/>
      <c r="C141" s="27" t="str">
        <f>IF('Lançamentos'!$B141&lt;&gt;"",YEAR('Lançamentos'!$B141)*100+MONTH(B141),"")</f>
        <v/>
      </c>
      <c r="D141" s="83"/>
      <c r="E141" s="40">
        <f t="array" ref="E141">IFERROR(_xlfn.XLOOKUP('Lançamentos'!$D141,Planilha1!$B$2:$B$35,Planilha1!$C$2:$C$35),0)</f>
        <v>0</v>
      </c>
      <c r="F141" s="84"/>
      <c r="G141" s="43" t="b">
        <v>0</v>
      </c>
      <c r="H141" s="45" t="str">
        <f>IF(AND('Análise'!$G$7="Pago",'Lançamentos'!$G141=TRUE),'Lançamentos'!$F141,IF(AND('Análise'!$G$7="Em Aberto",'Lançamentos'!$G141=FALSE),'Lançamentos'!$F141,IF('Análise'!$G$7="Todos",'Lançamentos'!$F141,0)))</f>
        <v/>
      </c>
    </row>
    <row r="142" ht="15.75" customHeight="1">
      <c r="B142" s="52"/>
      <c r="C142" s="27" t="str">
        <f>IF('Lançamentos'!$B142&lt;&gt;"",YEAR('Lançamentos'!$B142)*100+MONTH(B142),"")</f>
        <v/>
      </c>
      <c r="D142" s="83"/>
      <c r="E142" s="40">
        <f t="array" ref="E142">IFERROR(_xlfn.XLOOKUP('Lançamentos'!$D142,Planilha1!$B$2:$B$35,Planilha1!$C$2:$C$35),0)</f>
        <v>0</v>
      </c>
      <c r="F142" s="84"/>
      <c r="G142" s="43" t="b">
        <v>0</v>
      </c>
      <c r="H142" s="45" t="str">
        <f>IF(AND('Análise'!$G$7="Pago",'Lançamentos'!$G142=TRUE),'Lançamentos'!$F142,IF(AND('Análise'!$G$7="Em Aberto",'Lançamentos'!$G142=FALSE),'Lançamentos'!$F142,IF('Análise'!$G$7="Todos",'Lançamentos'!$F142,0)))</f>
        <v/>
      </c>
    </row>
    <row r="143" ht="15.75" customHeight="1">
      <c r="B143" s="52"/>
      <c r="C143" s="27" t="str">
        <f>IF('Lançamentos'!$B143&lt;&gt;"",YEAR('Lançamentos'!$B143)*100+MONTH(B143),"")</f>
        <v/>
      </c>
      <c r="D143" s="83"/>
      <c r="E143" s="40">
        <f t="array" ref="E143">IFERROR(_xlfn.XLOOKUP('Lançamentos'!$D143,Planilha1!$B$2:$B$35,Planilha1!$C$2:$C$35),0)</f>
        <v>0</v>
      </c>
      <c r="F143" s="84"/>
      <c r="G143" s="43" t="b">
        <v>0</v>
      </c>
      <c r="H143" s="45" t="str">
        <f>IF(AND('Análise'!$G$7="Pago",'Lançamentos'!$G143=TRUE),'Lançamentos'!$F143,IF(AND('Análise'!$G$7="Em Aberto",'Lançamentos'!$G143=FALSE),'Lançamentos'!$F143,IF('Análise'!$G$7="Todos",'Lançamentos'!$F143,0)))</f>
        <v/>
      </c>
    </row>
    <row r="144" ht="15.75" customHeight="1">
      <c r="B144" s="52"/>
      <c r="C144" s="27" t="str">
        <f>IF('Lançamentos'!$B144&lt;&gt;"",YEAR('Lançamentos'!$B144)*100+MONTH(B144),"")</f>
        <v/>
      </c>
      <c r="D144" s="83"/>
      <c r="E144" s="40">
        <f t="array" ref="E144">IFERROR(_xlfn.XLOOKUP('Lançamentos'!$D144,Planilha1!$B$2:$B$35,Planilha1!$C$2:$C$35),0)</f>
        <v>0</v>
      </c>
      <c r="F144" s="84"/>
      <c r="G144" s="43" t="b">
        <v>0</v>
      </c>
      <c r="H144" s="45" t="str">
        <f>IF(AND('Análise'!$G$7="Pago",'Lançamentos'!$G144=TRUE),'Lançamentos'!$F144,IF(AND('Análise'!$G$7="Em Aberto",'Lançamentos'!$G144=FALSE),'Lançamentos'!$F144,IF('Análise'!$G$7="Todos",'Lançamentos'!$F144,0)))</f>
        <v/>
      </c>
    </row>
    <row r="145" ht="15.75" customHeight="1">
      <c r="B145" s="52"/>
      <c r="C145" s="27" t="str">
        <f>IF('Lançamentos'!$B145&lt;&gt;"",YEAR('Lançamentos'!$B145)*100+MONTH(B145),"")</f>
        <v/>
      </c>
      <c r="D145" s="83"/>
      <c r="E145" s="40">
        <f t="array" ref="E145">IFERROR(_xlfn.XLOOKUP('Lançamentos'!$D145,Planilha1!$B$2:$B$35,Planilha1!$C$2:$C$35),0)</f>
        <v>0</v>
      </c>
      <c r="F145" s="84"/>
      <c r="G145" s="43" t="b">
        <v>0</v>
      </c>
      <c r="H145" s="45" t="str">
        <f>IF(AND('Análise'!$G$7="Pago",'Lançamentos'!$G145=TRUE),'Lançamentos'!$F145,IF(AND('Análise'!$G$7="Em Aberto",'Lançamentos'!$G145=FALSE),'Lançamentos'!$F145,IF('Análise'!$G$7="Todos",'Lançamentos'!$F145,0)))</f>
        <v/>
      </c>
    </row>
    <row r="146" ht="15.75" customHeight="1">
      <c r="B146" s="52"/>
      <c r="C146" s="27" t="str">
        <f>IF('Lançamentos'!$B146&lt;&gt;"",YEAR('Lançamentos'!$B146)*100+MONTH(B146),"")</f>
        <v/>
      </c>
      <c r="D146" s="83"/>
      <c r="E146" s="40">
        <f t="array" ref="E146">IFERROR(_xlfn.XLOOKUP('Lançamentos'!$D146,Planilha1!$B$2:$B$35,Planilha1!$C$2:$C$35),0)</f>
        <v>0</v>
      </c>
      <c r="F146" s="84"/>
      <c r="G146" s="43" t="b">
        <v>0</v>
      </c>
      <c r="H146" s="45" t="str">
        <f>IF(AND('Análise'!$G$7="Pago",'Lançamentos'!$G146=TRUE),'Lançamentos'!$F146,IF(AND('Análise'!$G$7="Em Aberto",'Lançamentos'!$G146=FALSE),'Lançamentos'!$F146,IF('Análise'!$G$7="Todos",'Lançamentos'!$F146,0)))</f>
        <v/>
      </c>
    </row>
    <row r="147" ht="15.75" customHeight="1">
      <c r="B147" s="52"/>
      <c r="C147" s="27" t="str">
        <f>IF('Lançamentos'!$B147&lt;&gt;"",YEAR('Lançamentos'!$B147)*100+MONTH(B147),"")</f>
        <v/>
      </c>
      <c r="D147" s="83"/>
      <c r="E147" s="40">
        <f t="array" ref="E147">IFERROR(_xlfn.XLOOKUP('Lançamentos'!$D147,Planilha1!$B$2:$B$35,Planilha1!$C$2:$C$35),0)</f>
        <v>0</v>
      </c>
      <c r="F147" s="84"/>
      <c r="G147" s="43" t="b">
        <v>0</v>
      </c>
      <c r="H147" s="45" t="str">
        <f>IF(AND('Análise'!$G$7="Pago",'Lançamentos'!$G147=TRUE),'Lançamentos'!$F147,IF(AND('Análise'!$G$7="Em Aberto",'Lançamentos'!$G147=FALSE),'Lançamentos'!$F147,IF('Análise'!$G$7="Todos",'Lançamentos'!$F147,0)))</f>
        <v/>
      </c>
    </row>
    <row r="148" ht="15.75" customHeight="1">
      <c r="B148" s="52"/>
      <c r="C148" s="27" t="str">
        <f>IF('Lançamentos'!$B148&lt;&gt;"",YEAR('Lançamentos'!$B148)*100+MONTH(B148),"")</f>
        <v/>
      </c>
      <c r="D148" s="83"/>
      <c r="E148" s="40">
        <f t="array" ref="E148">IFERROR(_xlfn.XLOOKUP('Lançamentos'!$D148,Planilha1!$B$2:$B$35,Planilha1!$C$2:$C$35),0)</f>
        <v>0</v>
      </c>
      <c r="F148" s="84"/>
      <c r="G148" s="43" t="b">
        <v>0</v>
      </c>
      <c r="H148" s="45" t="str">
        <f>IF(AND('Análise'!$G$7="Pago",'Lançamentos'!$G148=TRUE),'Lançamentos'!$F148,IF(AND('Análise'!$G$7="Em Aberto",'Lançamentos'!$G148=FALSE),'Lançamentos'!$F148,IF('Análise'!$G$7="Todos",'Lançamentos'!$F148,0)))</f>
        <v/>
      </c>
    </row>
    <row r="149" ht="15.75" customHeight="1">
      <c r="B149" s="52"/>
      <c r="C149" s="27" t="str">
        <f>IF('Lançamentos'!$B149&lt;&gt;"",YEAR('Lançamentos'!$B149)*100+MONTH(B149),"")</f>
        <v/>
      </c>
      <c r="D149" s="83"/>
      <c r="E149" s="40">
        <f t="array" ref="E149">IFERROR(_xlfn.XLOOKUP('Lançamentos'!$D149,Planilha1!$B$2:$B$35,Planilha1!$C$2:$C$35),0)</f>
        <v>0</v>
      </c>
      <c r="F149" s="84"/>
      <c r="G149" s="43" t="b">
        <v>0</v>
      </c>
      <c r="H149" s="45" t="str">
        <f>IF(AND('Análise'!$G$7="Pago",'Lançamentos'!$G149=TRUE),'Lançamentos'!$F149,IF(AND('Análise'!$G$7="Em Aberto",'Lançamentos'!$G149=FALSE),'Lançamentos'!$F149,IF('Análise'!$G$7="Todos",'Lançamentos'!$F149,0)))</f>
        <v/>
      </c>
    </row>
    <row r="150" ht="15.75" customHeight="1">
      <c r="B150" s="52"/>
      <c r="C150" s="27" t="str">
        <f>IF('Lançamentos'!$B150&lt;&gt;"",YEAR('Lançamentos'!$B150)*100+MONTH(B150),"")</f>
        <v/>
      </c>
      <c r="D150" s="83"/>
      <c r="E150" s="40">
        <f t="array" ref="E150">IFERROR(_xlfn.XLOOKUP('Lançamentos'!$D150,Planilha1!$B$2:$B$35,Planilha1!$C$2:$C$35),0)</f>
        <v>0</v>
      </c>
      <c r="F150" s="84"/>
      <c r="G150" s="43" t="b">
        <v>0</v>
      </c>
      <c r="H150" s="45" t="str">
        <f>IF(AND('Análise'!$G$7="Pago",'Lançamentos'!$G150=TRUE),'Lançamentos'!$F150,IF(AND('Análise'!$G$7="Em Aberto",'Lançamentos'!$G150=FALSE),'Lançamentos'!$F150,IF('Análise'!$G$7="Todos",'Lançamentos'!$F150,0)))</f>
        <v/>
      </c>
    </row>
    <row r="151" ht="15.75" customHeight="1">
      <c r="B151" s="52"/>
      <c r="C151" s="27" t="str">
        <f>IF('Lançamentos'!$B151&lt;&gt;"",YEAR('Lançamentos'!$B151)*100+MONTH(B151),"")</f>
        <v/>
      </c>
      <c r="D151" s="83"/>
      <c r="E151" s="40">
        <f t="array" ref="E151">IFERROR(_xlfn.XLOOKUP('Lançamentos'!$D151,Planilha1!$B$2:$B$35,Planilha1!$C$2:$C$35),0)</f>
        <v>0</v>
      </c>
      <c r="F151" s="84"/>
      <c r="G151" s="43" t="b">
        <v>0</v>
      </c>
      <c r="H151" s="45" t="str">
        <f>IF(AND('Análise'!$G$7="Pago",'Lançamentos'!$G151=TRUE),'Lançamentos'!$F151,IF(AND('Análise'!$G$7="Em Aberto",'Lançamentos'!$G151=FALSE),'Lançamentos'!$F151,IF('Análise'!$G$7="Todos",'Lançamentos'!$F151,0)))</f>
        <v/>
      </c>
    </row>
    <row r="152" ht="15.75" customHeight="1">
      <c r="B152" s="52"/>
      <c r="C152" s="27" t="str">
        <f>IF('Lançamentos'!$B152&lt;&gt;"",YEAR('Lançamentos'!$B152)*100+MONTH(B152),"")</f>
        <v/>
      </c>
      <c r="D152" s="83"/>
      <c r="E152" s="40">
        <f t="array" ref="E152">IFERROR(_xlfn.XLOOKUP('Lançamentos'!$D152,Planilha1!$B$2:$B$35,Planilha1!$C$2:$C$35),0)</f>
        <v>0</v>
      </c>
      <c r="F152" s="84"/>
      <c r="G152" s="43" t="b">
        <v>0</v>
      </c>
      <c r="H152" s="45" t="str">
        <f>IF(AND('Análise'!$G$7="Pago",'Lançamentos'!$G152=TRUE),'Lançamentos'!$F152,IF(AND('Análise'!$G$7="Em Aberto",'Lançamentos'!$G152=FALSE),'Lançamentos'!$F152,IF('Análise'!$G$7="Todos",'Lançamentos'!$F152,0)))</f>
        <v/>
      </c>
    </row>
    <row r="153" ht="15.75" customHeight="1">
      <c r="B153" s="52"/>
      <c r="C153" s="27" t="str">
        <f>IF('Lançamentos'!$B153&lt;&gt;"",YEAR('Lançamentos'!$B153)*100+MONTH(B153),"")</f>
        <v/>
      </c>
      <c r="D153" s="83"/>
      <c r="E153" s="40">
        <f t="array" ref="E153">IFERROR(_xlfn.XLOOKUP('Lançamentos'!$D153,Planilha1!$B$2:$B$35,Planilha1!$C$2:$C$35),0)</f>
        <v>0</v>
      </c>
      <c r="F153" s="84"/>
      <c r="G153" s="43" t="b">
        <v>0</v>
      </c>
      <c r="H153" s="45" t="str">
        <f>IF(AND('Análise'!$G$7="Pago",'Lançamentos'!$G153=TRUE),'Lançamentos'!$F153,IF(AND('Análise'!$G$7="Em Aberto",'Lançamentos'!$G153=FALSE),'Lançamentos'!$F153,IF('Análise'!$G$7="Todos",'Lançamentos'!$F153,0)))</f>
        <v/>
      </c>
    </row>
    <row r="154" ht="15.75" customHeight="1">
      <c r="B154" s="52"/>
      <c r="C154" s="27" t="str">
        <f>IF('Lançamentos'!$B154&lt;&gt;"",YEAR('Lançamentos'!$B154)*100+MONTH(B154),"")</f>
        <v/>
      </c>
      <c r="D154" s="83"/>
      <c r="E154" s="40">
        <f t="array" ref="E154">IFERROR(_xlfn.XLOOKUP('Lançamentos'!$D154,Planilha1!$B$2:$B$35,Planilha1!$C$2:$C$35),0)</f>
        <v>0</v>
      </c>
      <c r="F154" s="84"/>
      <c r="G154" s="43" t="b">
        <v>0</v>
      </c>
      <c r="H154" s="45" t="str">
        <f>IF(AND('Análise'!$G$7="Pago",'Lançamentos'!$G154=TRUE),'Lançamentos'!$F154,IF(AND('Análise'!$G$7="Em Aberto",'Lançamentos'!$G154=FALSE),'Lançamentos'!$F154,IF('Análise'!$G$7="Todos",'Lançamentos'!$F154,0)))</f>
        <v/>
      </c>
    </row>
    <row r="155" ht="15.75" customHeight="1">
      <c r="B155" s="52"/>
      <c r="C155" s="27" t="str">
        <f>IF('Lançamentos'!$B155&lt;&gt;"",YEAR('Lançamentos'!$B155)*100+MONTH(B155),"")</f>
        <v/>
      </c>
      <c r="D155" s="83"/>
      <c r="E155" s="40">
        <f t="array" ref="E155">IFERROR(_xlfn.XLOOKUP('Lançamentos'!$D155,Planilha1!$B$2:$B$35,Planilha1!$C$2:$C$35),0)</f>
        <v>0</v>
      </c>
      <c r="F155" s="84"/>
      <c r="G155" s="43" t="b">
        <v>0</v>
      </c>
      <c r="H155" s="45" t="str">
        <f>IF(AND('Análise'!$G$7="Pago",'Lançamentos'!$G155=TRUE),'Lançamentos'!$F155,IF(AND('Análise'!$G$7="Em Aberto",'Lançamentos'!$G155=FALSE),'Lançamentos'!$F155,IF('Análise'!$G$7="Todos",'Lançamentos'!$F155,0)))</f>
        <v/>
      </c>
    </row>
    <row r="156" ht="15.75" customHeight="1">
      <c r="B156" s="52"/>
      <c r="C156" s="27" t="str">
        <f>IF('Lançamentos'!$B156&lt;&gt;"",YEAR('Lançamentos'!$B156)*100+MONTH(B156),"")</f>
        <v/>
      </c>
      <c r="D156" s="83"/>
      <c r="E156" s="40">
        <f t="array" ref="E156">IFERROR(_xlfn.XLOOKUP('Lançamentos'!$D156,Planilha1!$B$2:$B$35,Planilha1!$C$2:$C$35),0)</f>
        <v>0</v>
      </c>
      <c r="F156" s="84"/>
      <c r="G156" s="43" t="b">
        <v>0</v>
      </c>
      <c r="H156" s="45" t="str">
        <f>IF(AND('Análise'!$G$7="Pago",'Lançamentos'!$G156=TRUE),'Lançamentos'!$F156,IF(AND('Análise'!$G$7="Em Aberto",'Lançamentos'!$G156=FALSE),'Lançamentos'!$F156,IF('Análise'!$G$7="Todos",'Lançamentos'!$F156,0)))</f>
        <v/>
      </c>
    </row>
    <row r="157" ht="15.75" customHeight="1">
      <c r="B157" s="52"/>
      <c r="C157" s="27" t="str">
        <f>IF('Lançamentos'!$B157&lt;&gt;"",YEAR('Lançamentos'!$B157)*100+MONTH(B157),"")</f>
        <v/>
      </c>
      <c r="D157" s="83"/>
      <c r="E157" s="40">
        <f t="array" ref="E157">IFERROR(_xlfn.XLOOKUP('Lançamentos'!$D157,Planilha1!$B$2:$B$35,Planilha1!$C$2:$C$35),0)</f>
        <v>0</v>
      </c>
      <c r="F157" s="84"/>
      <c r="G157" s="43" t="b">
        <v>0</v>
      </c>
      <c r="H157" s="45" t="str">
        <f>IF(AND('Análise'!$G$7="Pago",'Lançamentos'!$G157=TRUE),'Lançamentos'!$F157,IF(AND('Análise'!$G$7="Em Aberto",'Lançamentos'!$G157=FALSE),'Lançamentos'!$F157,IF('Análise'!$G$7="Todos",'Lançamentos'!$F157,0)))</f>
        <v/>
      </c>
    </row>
    <row r="158" ht="15.75" customHeight="1">
      <c r="B158" s="52"/>
      <c r="C158" s="27" t="str">
        <f>IF('Lançamentos'!$B158&lt;&gt;"",YEAR('Lançamentos'!$B158)*100+MONTH(B158),"")</f>
        <v/>
      </c>
      <c r="D158" s="83"/>
      <c r="E158" s="40">
        <f t="array" ref="E158">IFERROR(_xlfn.XLOOKUP('Lançamentos'!$D158,Planilha1!$B$2:$B$35,Planilha1!$C$2:$C$35),0)</f>
        <v>0</v>
      </c>
      <c r="F158" s="84"/>
      <c r="G158" s="43" t="b">
        <v>0</v>
      </c>
      <c r="H158" s="45" t="str">
        <f>IF(AND('Análise'!$G$7="Pago",'Lançamentos'!$G158=TRUE),'Lançamentos'!$F158,IF(AND('Análise'!$G$7="Em Aberto",'Lançamentos'!$G158=FALSE),'Lançamentos'!$F158,IF('Análise'!$G$7="Todos",'Lançamentos'!$F158,0)))</f>
        <v/>
      </c>
    </row>
    <row r="159" ht="15.75" customHeight="1">
      <c r="B159" s="52"/>
      <c r="C159" s="27" t="str">
        <f>IF('Lançamentos'!$B159&lt;&gt;"",YEAR('Lançamentos'!$B159)*100+MONTH(B159),"")</f>
        <v/>
      </c>
      <c r="D159" s="83"/>
      <c r="E159" s="40">
        <f t="array" ref="E159">IFERROR(_xlfn.XLOOKUP('Lançamentos'!$D159,Planilha1!$B$2:$B$35,Planilha1!$C$2:$C$35),0)</f>
        <v>0</v>
      </c>
      <c r="F159" s="84"/>
      <c r="G159" s="43" t="b">
        <v>0</v>
      </c>
      <c r="H159" s="45" t="str">
        <f>IF(AND('Análise'!$G$7="Pago",'Lançamentos'!$G159=TRUE),'Lançamentos'!$F159,IF(AND('Análise'!$G$7="Em Aberto",'Lançamentos'!$G159=FALSE),'Lançamentos'!$F159,IF('Análise'!$G$7="Todos",'Lançamentos'!$F159,0)))</f>
        <v/>
      </c>
    </row>
    <row r="160" ht="15.75" customHeight="1">
      <c r="B160" s="52"/>
      <c r="C160" s="27" t="str">
        <f>IF('Lançamentos'!$B160&lt;&gt;"",YEAR('Lançamentos'!$B160)*100+MONTH(B160),"")</f>
        <v/>
      </c>
      <c r="D160" s="83"/>
      <c r="E160" s="40">
        <f t="array" ref="E160">IFERROR(_xlfn.XLOOKUP('Lançamentos'!$D160,Planilha1!$B$2:$B$35,Planilha1!$C$2:$C$35),0)</f>
        <v>0</v>
      </c>
      <c r="F160" s="84"/>
      <c r="G160" s="43" t="b">
        <v>0</v>
      </c>
      <c r="H160" s="45" t="str">
        <f>IF(AND('Análise'!$G$7="Pago",'Lançamentos'!$G160=TRUE),'Lançamentos'!$F160,IF(AND('Análise'!$G$7="Em Aberto",'Lançamentos'!$G160=FALSE),'Lançamentos'!$F160,IF('Análise'!$G$7="Todos",'Lançamentos'!$F160,0)))</f>
        <v/>
      </c>
    </row>
    <row r="161" ht="15.75" customHeight="1">
      <c r="B161" s="52"/>
      <c r="C161" s="27" t="str">
        <f>IF('Lançamentos'!$B161&lt;&gt;"",YEAR('Lançamentos'!$B161)*100+MONTH(B161),"")</f>
        <v/>
      </c>
      <c r="D161" s="83"/>
      <c r="E161" s="40">
        <f t="array" ref="E161">IFERROR(_xlfn.XLOOKUP('Lançamentos'!$D161,Planilha1!$B$2:$B$35,Planilha1!$C$2:$C$35),0)</f>
        <v>0</v>
      </c>
      <c r="F161" s="84"/>
      <c r="G161" s="43" t="b">
        <v>0</v>
      </c>
      <c r="H161" s="45" t="str">
        <f>IF(AND('Análise'!$G$7="Pago",'Lançamentos'!$G161=TRUE),'Lançamentos'!$F161,IF(AND('Análise'!$G$7="Em Aberto",'Lançamentos'!$G161=FALSE),'Lançamentos'!$F161,IF('Análise'!$G$7="Todos",'Lançamentos'!$F161,0)))</f>
        <v/>
      </c>
    </row>
    <row r="162" ht="15.75" customHeight="1">
      <c r="B162" s="52"/>
      <c r="C162" s="27" t="str">
        <f>IF('Lançamentos'!$B162&lt;&gt;"",YEAR('Lançamentos'!$B162)*100+MONTH(B162),"")</f>
        <v/>
      </c>
      <c r="D162" s="83"/>
      <c r="E162" s="40">
        <f t="array" ref="E162">IFERROR(_xlfn.XLOOKUP('Lançamentos'!$D162,Planilha1!$B$2:$B$35,Planilha1!$C$2:$C$35),0)</f>
        <v>0</v>
      </c>
      <c r="F162" s="84"/>
      <c r="G162" s="43" t="b">
        <v>0</v>
      </c>
      <c r="H162" s="45" t="str">
        <f>IF(AND('Análise'!$G$7="Pago",'Lançamentos'!$G162=TRUE),'Lançamentos'!$F162,IF(AND('Análise'!$G$7="Em Aberto",'Lançamentos'!$G162=FALSE),'Lançamentos'!$F162,IF('Análise'!$G$7="Todos",'Lançamentos'!$F162,0)))</f>
        <v/>
      </c>
    </row>
    <row r="163" ht="15.75" customHeight="1">
      <c r="B163" s="52"/>
      <c r="C163" s="27" t="str">
        <f>IF('Lançamentos'!$B163&lt;&gt;"",YEAR('Lançamentos'!$B163)*100+MONTH(B163),"")</f>
        <v/>
      </c>
      <c r="D163" s="83"/>
      <c r="E163" s="40">
        <f t="array" ref="E163">IFERROR(_xlfn.XLOOKUP('Lançamentos'!$D163,Planilha1!$B$2:$B$35,Planilha1!$C$2:$C$35),0)</f>
        <v>0</v>
      </c>
      <c r="F163" s="84"/>
      <c r="G163" s="43" t="b">
        <v>0</v>
      </c>
      <c r="H163" s="45" t="str">
        <f>IF(AND('Análise'!$G$7="Pago",'Lançamentos'!$G163=TRUE),'Lançamentos'!$F163,IF(AND('Análise'!$G$7="Em Aberto",'Lançamentos'!$G163=FALSE),'Lançamentos'!$F163,IF('Análise'!$G$7="Todos",'Lançamentos'!$F163,0)))</f>
        <v/>
      </c>
    </row>
    <row r="164" ht="15.75" customHeight="1">
      <c r="B164" s="52"/>
      <c r="C164" s="27" t="str">
        <f>IF('Lançamentos'!$B164&lt;&gt;"",YEAR('Lançamentos'!$B164)*100+MONTH(B164),"")</f>
        <v/>
      </c>
      <c r="D164" s="83"/>
      <c r="E164" s="40">
        <f t="array" ref="E164">IFERROR(_xlfn.XLOOKUP('Lançamentos'!$D164,Planilha1!$B$2:$B$35,Planilha1!$C$2:$C$35),0)</f>
        <v>0</v>
      </c>
      <c r="F164" s="84"/>
      <c r="G164" s="43" t="b">
        <v>0</v>
      </c>
      <c r="H164" s="45" t="str">
        <f>IF(AND('Análise'!$G$7="Pago",'Lançamentos'!$G164=TRUE),'Lançamentos'!$F164,IF(AND('Análise'!$G$7="Em Aberto",'Lançamentos'!$G164=FALSE),'Lançamentos'!$F164,IF('Análise'!$G$7="Todos",'Lançamentos'!$F164,0)))</f>
        <v/>
      </c>
    </row>
    <row r="165" ht="15.75" customHeight="1">
      <c r="B165" s="52"/>
      <c r="C165" s="27" t="str">
        <f>IF('Lançamentos'!$B165&lt;&gt;"",YEAR('Lançamentos'!$B165)*100+MONTH(B165),"")</f>
        <v/>
      </c>
      <c r="D165" s="83"/>
      <c r="E165" s="40">
        <f t="array" ref="E165">IFERROR(_xlfn.XLOOKUP('Lançamentos'!$D165,Planilha1!$B$2:$B$35,Planilha1!$C$2:$C$35),0)</f>
        <v>0</v>
      </c>
      <c r="F165" s="84"/>
      <c r="G165" s="43" t="b">
        <v>0</v>
      </c>
      <c r="H165" s="45" t="str">
        <f>IF(AND('Análise'!$G$7="Pago",'Lançamentos'!$G165=TRUE),'Lançamentos'!$F165,IF(AND('Análise'!$G$7="Em Aberto",'Lançamentos'!$G165=FALSE),'Lançamentos'!$F165,IF('Análise'!$G$7="Todos",'Lançamentos'!$F165,0)))</f>
        <v/>
      </c>
    </row>
    <row r="166" ht="15.75" customHeight="1">
      <c r="B166" s="52"/>
      <c r="C166" s="27" t="str">
        <f>IF('Lançamentos'!$B166&lt;&gt;"",YEAR('Lançamentos'!$B166)*100+MONTH(B166),"")</f>
        <v/>
      </c>
      <c r="D166" s="83"/>
      <c r="E166" s="40">
        <f t="array" ref="E166">IFERROR(_xlfn.XLOOKUP('Lançamentos'!$D166,Planilha1!$B$2:$B$35,Planilha1!$C$2:$C$35),0)</f>
        <v>0</v>
      </c>
      <c r="F166" s="84"/>
      <c r="G166" s="43" t="b">
        <v>0</v>
      </c>
      <c r="H166" s="45" t="str">
        <f>IF(AND('Análise'!$G$7="Pago",'Lançamentos'!$G166=TRUE),'Lançamentos'!$F166,IF(AND('Análise'!$G$7="Em Aberto",'Lançamentos'!$G166=FALSE),'Lançamentos'!$F166,IF('Análise'!$G$7="Todos",'Lançamentos'!$F166,0)))</f>
        <v/>
      </c>
    </row>
    <row r="167" ht="15.75" customHeight="1">
      <c r="B167" s="52"/>
      <c r="C167" s="27" t="str">
        <f>IF('Lançamentos'!$B167&lt;&gt;"",YEAR('Lançamentos'!$B167)*100+MONTH(B167),"")</f>
        <v/>
      </c>
      <c r="D167" s="83"/>
      <c r="E167" s="40">
        <f t="array" ref="E167">IFERROR(_xlfn.XLOOKUP('Lançamentos'!$D167,Planilha1!$B$2:$B$35,Planilha1!$C$2:$C$35),0)</f>
        <v>0</v>
      </c>
      <c r="F167" s="84"/>
      <c r="G167" s="43" t="b">
        <v>0</v>
      </c>
      <c r="H167" s="45" t="str">
        <f>IF(AND('Análise'!$G$7="Pago",'Lançamentos'!$G167=TRUE),'Lançamentos'!$F167,IF(AND('Análise'!$G$7="Em Aberto",'Lançamentos'!$G167=FALSE),'Lançamentos'!$F167,IF('Análise'!$G$7="Todos",'Lançamentos'!$F167,0)))</f>
        <v/>
      </c>
    </row>
    <row r="168" ht="15.75" customHeight="1">
      <c r="B168" s="52"/>
      <c r="C168" s="27" t="str">
        <f>IF('Lançamentos'!$B168&lt;&gt;"",YEAR('Lançamentos'!$B168)*100+MONTH(B168),"")</f>
        <v/>
      </c>
      <c r="D168" s="83"/>
      <c r="E168" s="40">
        <f t="array" ref="E168">IFERROR(_xlfn.XLOOKUP('Lançamentos'!$D168,Planilha1!$B$2:$B$35,Planilha1!$C$2:$C$35),0)</f>
        <v>0</v>
      </c>
      <c r="F168" s="84"/>
      <c r="G168" s="43" t="b">
        <v>0</v>
      </c>
      <c r="H168" s="45" t="str">
        <f>IF(AND('Análise'!$G$7="Pago",'Lançamentos'!$G168=TRUE),'Lançamentos'!$F168,IF(AND('Análise'!$G$7="Em Aberto",'Lançamentos'!$G168=FALSE),'Lançamentos'!$F168,IF('Análise'!$G$7="Todos",'Lançamentos'!$F168,0)))</f>
        <v/>
      </c>
    </row>
    <row r="169" ht="15.75" customHeight="1">
      <c r="B169" s="52"/>
      <c r="C169" s="27" t="str">
        <f>IF('Lançamentos'!$B169&lt;&gt;"",YEAR('Lançamentos'!$B169)*100+MONTH(B169),"")</f>
        <v/>
      </c>
      <c r="D169" s="83"/>
      <c r="E169" s="40">
        <f t="array" ref="E169">IFERROR(_xlfn.XLOOKUP('Lançamentos'!$D169,Planilha1!$B$2:$B$35,Planilha1!$C$2:$C$35),0)</f>
        <v>0</v>
      </c>
      <c r="F169" s="84"/>
      <c r="G169" s="43" t="b">
        <v>0</v>
      </c>
      <c r="H169" s="45" t="str">
        <f>IF(AND('Análise'!$G$7="Pago",'Lançamentos'!$G169=TRUE),'Lançamentos'!$F169,IF(AND('Análise'!$G$7="Em Aberto",'Lançamentos'!$G169=FALSE),'Lançamentos'!$F169,IF('Análise'!$G$7="Todos",'Lançamentos'!$F169,0)))</f>
        <v/>
      </c>
    </row>
    <row r="170" ht="15.75" customHeight="1">
      <c r="B170" s="52"/>
      <c r="C170" s="27" t="str">
        <f>IF('Lançamentos'!$B170&lt;&gt;"",YEAR('Lançamentos'!$B170)*100+MONTH(B170),"")</f>
        <v/>
      </c>
      <c r="D170" s="83"/>
      <c r="E170" s="40">
        <f t="array" ref="E170">IFERROR(_xlfn.XLOOKUP('Lançamentos'!$D170,Planilha1!$B$2:$B$35,Planilha1!$C$2:$C$35),0)</f>
        <v>0</v>
      </c>
      <c r="F170" s="84"/>
      <c r="G170" s="43" t="b">
        <v>0</v>
      </c>
      <c r="H170" s="45" t="str">
        <f>IF(AND('Análise'!$G$7="Pago",'Lançamentos'!$G170=TRUE),'Lançamentos'!$F170,IF(AND('Análise'!$G$7="Em Aberto",'Lançamentos'!$G170=FALSE),'Lançamentos'!$F170,IF('Análise'!$G$7="Todos",'Lançamentos'!$F170,0)))</f>
        <v/>
      </c>
    </row>
    <row r="171" ht="15.75" customHeight="1">
      <c r="B171" s="52"/>
      <c r="C171" s="27" t="str">
        <f>IF('Lançamentos'!$B171&lt;&gt;"",YEAR('Lançamentos'!$B171)*100+MONTH(B171),"")</f>
        <v/>
      </c>
      <c r="D171" s="83"/>
      <c r="E171" s="40">
        <f t="array" ref="E171">IFERROR(_xlfn.XLOOKUP('Lançamentos'!$D171,Planilha1!$B$2:$B$35,Planilha1!$C$2:$C$35),0)</f>
        <v>0</v>
      </c>
      <c r="F171" s="84"/>
      <c r="G171" s="43" t="b">
        <v>0</v>
      </c>
      <c r="H171" s="45" t="str">
        <f>IF(AND('Análise'!$G$7="Pago",'Lançamentos'!$G171=TRUE),'Lançamentos'!$F171,IF(AND('Análise'!$G$7="Em Aberto",'Lançamentos'!$G171=FALSE),'Lançamentos'!$F171,IF('Análise'!$G$7="Todos",'Lançamentos'!$F171,0)))</f>
        <v/>
      </c>
    </row>
    <row r="172" ht="15.75" customHeight="1">
      <c r="B172" s="52"/>
      <c r="C172" s="27" t="str">
        <f>IF('Lançamentos'!$B172&lt;&gt;"",YEAR('Lançamentos'!$B172)*100+MONTH(B172),"")</f>
        <v/>
      </c>
      <c r="D172" s="83"/>
      <c r="E172" s="40">
        <f t="array" ref="E172">IFERROR(_xlfn.XLOOKUP('Lançamentos'!$D172,Planilha1!$B$2:$B$35,Planilha1!$C$2:$C$35),0)</f>
        <v>0</v>
      </c>
      <c r="F172" s="84"/>
      <c r="G172" s="43" t="b">
        <v>0</v>
      </c>
      <c r="H172" s="45" t="str">
        <f>IF(AND('Análise'!$G$7="Pago",'Lançamentos'!$G172=TRUE),'Lançamentos'!$F172,IF(AND('Análise'!$G$7="Em Aberto",'Lançamentos'!$G172=FALSE),'Lançamentos'!$F172,IF('Análise'!$G$7="Todos",'Lançamentos'!$F172,0)))</f>
        <v/>
      </c>
    </row>
    <row r="173" ht="15.75" customHeight="1">
      <c r="B173" s="52"/>
      <c r="C173" s="27" t="str">
        <f>IF('Lançamentos'!$B173&lt;&gt;"",YEAR('Lançamentos'!$B173)*100+MONTH(B173),"")</f>
        <v/>
      </c>
      <c r="D173" s="83"/>
      <c r="E173" s="40">
        <f t="array" ref="E173">IFERROR(_xlfn.XLOOKUP('Lançamentos'!$D173,Planilha1!$B$2:$B$35,Planilha1!$C$2:$C$35),0)</f>
        <v>0</v>
      </c>
      <c r="F173" s="84"/>
      <c r="G173" s="43" t="b">
        <v>0</v>
      </c>
      <c r="H173" s="45" t="str">
        <f>IF(AND('Análise'!$G$7="Pago",'Lançamentos'!$G173=TRUE),'Lançamentos'!$F173,IF(AND('Análise'!$G$7="Em Aberto",'Lançamentos'!$G173=FALSE),'Lançamentos'!$F173,IF('Análise'!$G$7="Todos",'Lançamentos'!$F173,0)))</f>
        <v/>
      </c>
    </row>
    <row r="174" ht="15.75" customHeight="1">
      <c r="B174" s="52"/>
      <c r="C174" s="27" t="str">
        <f>IF('Lançamentos'!$B174&lt;&gt;"",YEAR('Lançamentos'!$B174)*100+MONTH(B174),"")</f>
        <v/>
      </c>
      <c r="D174" s="83"/>
      <c r="E174" s="40">
        <f t="array" ref="E174">IFERROR(_xlfn.XLOOKUP('Lançamentos'!$D174,Planilha1!$B$2:$B$35,Planilha1!$C$2:$C$35),0)</f>
        <v>0</v>
      </c>
      <c r="F174" s="84"/>
      <c r="G174" s="43" t="b">
        <v>0</v>
      </c>
      <c r="H174" s="45" t="str">
        <f>IF(AND('Análise'!$G$7="Pago",'Lançamentos'!$G174=TRUE),'Lançamentos'!$F174,IF(AND('Análise'!$G$7="Em Aberto",'Lançamentos'!$G174=FALSE),'Lançamentos'!$F174,IF('Análise'!$G$7="Todos",'Lançamentos'!$F174,0)))</f>
        <v/>
      </c>
    </row>
    <row r="175" ht="15.75" customHeight="1">
      <c r="B175" s="52"/>
      <c r="C175" s="27" t="str">
        <f>IF('Lançamentos'!$B175&lt;&gt;"",YEAR('Lançamentos'!$B175)*100+MONTH(B175),"")</f>
        <v/>
      </c>
      <c r="D175" s="83"/>
      <c r="E175" s="40">
        <f t="array" ref="E175">IFERROR(_xlfn.XLOOKUP('Lançamentos'!$D175,Planilha1!$B$2:$B$35,Planilha1!$C$2:$C$35),0)</f>
        <v>0</v>
      </c>
      <c r="F175" s="84"/>
      <c r="G175" s="43" t="b">
        <v>0</v>
      </c>
      <c r="H175" s="45" t="str">
        <f>IF(AND('Análise'!$G$7="Pago",'Lançamentos'!$G175=TRUE),'Lançamentos'!$F175,IF(AND('Análise'!$G$7="Em Aberto",'Lançamentos'!$G175=FALSE),'Lançamentos'!$F175,IF('Análise'!$G$7="Todos",'Lançamentos'!$F175,0)))</f>
        <v/>
      </c>
    </row>
    <row r="176" ht="15.75" customHeight="1">
      <c r="B176" s="52"/>
      <c r="C176" s="27" t="str">
        <f>IF('Lançamentos'!$B176&lt;&gt;"",YEAR('Lançamentos'!$B176)*100+MONTH(B176),"")</f>
        <v/>
      </c>
      <c r="D176" s="83"/>
      <c r="E176" s="40">
        <f t="array" ref="E176">IFERROR(_xlfn.XLOOKUP('Lançamentos'!$D176,Planilha1!$B$2:$B$35,Planilha1!$C$2:$C$35),0)</f>
        <v>0</v>
      </c>
      <c r="F176" s="84"/>
      <c r="G176" s="43" t="b">
        <v>0</v>
      </c>
      <c r="H176" s="45" t="str">
        <f>IF(AND('Análise'!$G$7="Pago",'Lançamentos'!$G176=TRUE),'Lançamentos'!$F176,IF(AND('Análise'!$G$7="Em Aberto",'Lançamentos'!$G176=FALSE),'Lançamentos'!$F176,IF('Análise'!$G$7="Todos",'Lançamentos'!$F176,0)))</f>
        <v/>
      </c>
    </row>
    <row r="177" ht="15.75" customHeight="1">
      <c r="B177" s="52"/>
      <c r="C177" s="27" t="str">
        <f>IF('Lançamentos'!$B177&lt;&gt;"",YEAR('Lançamentos'!$B177)*100+MONTH(B177),"")</f>
        <v/>
      </c>
      <c r="D177" s="83"/>
      <c r="E177" s="40">
        <f t="array" ref="E177">IFERROR(_xlfn.XLOOKUP('Lançamentos'!$D177,Planilha1!$B$2:$B$35,Planilha1!$C$2:$C$35),0)</f>
        <v>0</v>
      </c>
      <c r="F177" s="84"/>
      <c r="G177" s="43" t="b">
        <v>0</v>
      </c>
      <c r="H177" s="45" t="str">
        <f>IF(AND('Análise'!$G$7="Pago",'Lançamentos'!$G177=TRUE),'Lançamentos'!$F177,IF(AND('Análise'!$G$7="Em Aberto",'Lançamentos'!$G177=FALSE),'Lançamentos'!$F177,IF('Análise'!$G$7="Todos",'Lançamentos'!$F177,0)))</f>
        <v/>
      </c>
    </row>
    <row r="178" ht="15.75" customHeight="1">
      <c r="B178" s="52"/>
      <c r="C178" s="27" t="str">
        <f>IF('Lançamentos'!$B178&lt;&gt;"",YEAR('Lançamentos'!$B178)*100+MONTH(B178),"")</f>
        <v/>
      </c>
      <c r="D178" s="83"/>
      <c r="E178" s="40">
        <f t="array" ref="E178">IFERROR(_xlfn.XLOOKUP('Lançamentos'!$D178,Planilha1!$B$2:$B$35,Planilha1!$C$2:$C$35),0)</f>
        <v>0</v>
      </c>
      <c r="F178" s="84"/>
      <c r="G178" s="43" t="b">
        <v>0</v>
      </c>
      <c r="H178" s="45" t="str">
        <f>IF(AND('Análise'!$G$7="Pago",'Lançamentos'!$G178=TRUE),'Lançamentos'!$F178,IF(AND('Análise'!$G$7="Em Aberto",'Lançamentos'!$G178=FALSE),'Lançamentos'!$F178,IF('Análise'!$G$7="Todos",'Lançamentos'!$F178,0)))</f>
        <v/>
      </c>
    </row>
    <row r="179" ht="15.75" customHeight="1">
      <c r="B179" s="52"/>
      <c r="C179" s="27" t="str">
        <f>IF('Lançamentos'!$B179&lt;&gt;"",YEAR('Lançamentos'!$B179)*100+MONTH(B179),"")</f>
        <v/>
      </c>
      <c r="D179" s="83"/>
      <c r="E179" s="40">
        <f t="array" ref="E179">IFERROR(_xlfn.XLOOKUP('Lançamentos'!$D179,Planilha1!$B$2:$B$35,Planilha1!$C$2:$C$35),0)</f>
        <v>0</v>
      </c>
      <c r="F179" s="84"/>
      <c r="G179" s="43" t="b">
        <v>0</v>
      </c>
      <c r="H179" s="45" t="str">
        <f>IF(AND('Análise'!$G$7="Pago",'Lançamentos'!$G179=TRUE),'Lançamentos'!$F179,IF(AND('Análise'!$G$7="Em Aberto",'Lançamentos'!$G179=FALSE),'Lançamentos'!$F179,IF('Análise'!$G$7="Todos",'Lançamentos'!$F179,0)))</f>
        <v/>
      </c>
    </row>
    <row r="180" ht="15.75" customHeight="1">
      <c r="B180" s="52"/>
      <c r="C180" s="27" t="str">
        <f>IF('Lançamentos'!$B180&lt;&gt;"",YEAR('Lançamentos'!$B180)*100+MONTH(B180),"")</f>
        <v/>
      </c>
      <c r="D180" s="83"/>
      <c r="E180" s="40">
        <f t="array" ref="E180">IFERROR(_xlfn.XLOOKUP('Lançamentos'!$D180,Planilha1!$B$2:$B$35,Planilha1!$C$2:$C$35),0)</f>
        <v>0</v>
      </c>
      <c r="F180" s="84"/>
      <c r="G180" s="43" t="b">
        <v>0</v>
      </c>
      <c r="H180" s="45" t="str">
        <f>IF(AND('Análise'!$G$7="Pago",'Lançamentos'!$G180=TRUE),'Lançamentos'!$F180,IF(AND('Análise'!$G$7="Em Aberto",'Lançamentos'!$G180=FALSE),'Lançamentos'!$F180,IF('Análise'!$G$7="Todos",'Lançamentos'!$F180,0)))</f>
        <v/>
      </c>
    </row>
    <row r="181" ht="15.75" customHeight="1">
      <c r="B181" s="52"/>
      <c r="C181" s="27" t="str">
        <f>IF('Lançamentos'!$B181&lt;&gt;"",YEAR('Lançamentos'!$B181)*100+MONTH(B181),"")</f>
        <v/>
      </c>
      <c r="D181" s="83"/>
      <c r="E181" s="40">
        <f t="array" ref="E181">IFERROR(_xlfn.XLOOKUP('Lançamentos'!$D181,Planilha1!$B$2:$B$35,Planilha1!$C$2:$C$35),0)</f>
        <v>0</v>
      </c>
      <c r="F181" s="84"/>
      <c r="G181" s="43" t="b">
        <v>0</v>
      </c>
      <c r="H181" s="45" t="str">
        <f>IF(AND('Análise'!$G$7="Pago",'Lançamentos'!$G181=TRUE),'Lançamentos'!$F181,IF(AND('Análise'!$G$7="Em Aberto",'Lançamentos'!$G181=FALSE),'Lançamentos'!$F181,IF('Análise'!$G$7="Todos",'Lançamentos'!$F181,0)))</f>
        <v/>
      </c>
    </row>
    <row r="182" ht="15.75" customHeight="1">
      <c r="B182" s="52"/>
      <c r="C182" s="27" t="str">
        <f>IF('Lançamentos'!$B182&lt;&gt;"",YEAR('Lançamentos'!$B182)*100+MONTH(B182),"")</f>
        <v/>
      </c>
      <c r="D182" s="83"/>
      <c r="E182" s="40">
        <f t="array" ref="E182">IFERROR(_xlfn.XLOOKUP('Lançamentos'!$D182,Planilha1!$B$2:$B$35,Planilha1!$C$2:$C$35),0)</f>
        <v>0</v>
      </c>
      <c r="F182" s="84"/>
      <c r="G182" s="43" t="b">
        <v>0</v>
      </c>
      <c r="H182" s="45" t="str">
        <f>IF(AND('Análise'!$G$7="Pago",'Lançamentos'!$G182=TRUE),'Lançamentos'!$F182,IF(AND('Análise'!$G$7="Em Aberto",'Lançamentos'!$G182=FALSE),'Lançamentos'!$F182,IF('Análise'!$G$7="Todos",'Lançamentos'!$F182,0)))</f>
        <v/>
      </c>
    </row>
    <row r="183" ht="15.75" customHeight="1">
      <c r="B183" s="52"/>
      <c r="C183" s="27" t="str">
        <f>IF('Lançamentos'!$B183&lt;&gt;"",YEAR('Lançamentos'!$B183)*100+MONTH(B183),"")</f>
        <v/>
      </c>
      <c r="D183" s="83"/>
      <c r="E183" s="40">
        <f t="array" ref="E183">IFERROR(_xlfn.XLOOKUP('Lançamentos'!$D183,Planilha1!$B$2:$B$35,Planilha1!$C$2:$C$35),0)</f>
        <v>0</v>
      </c>
      <c r="F183" s="84"/>
      <c r="G183" s="43" t="b">
        <v>0</v>
      </c>
      <c r="H183" s="45" t="str">
        <f>IF(AND('Análise'!$G$7="Pago",'Lançamentos'!$G183=TRUE),'Lançamentos'!$F183,IF(AND('Análise'!$G$7="Em Aberto",'Lançamentos'!$G183=FALSE),'Lançamentos'!$F183,IF('Análise'!$G$7="Todos",'Lançamentos'!$F183,0)))</f>
        <v/>
      </c>
    </row>
    <row r="184" ht="15.75" customHeight="1">
      <c r="B184" s="52"/>
      <c r="C184" s="27" t="str">
        <f>IF('Lançamentos'!$B184&lt;&gt;"",YEAR('Lançamentos'!$B184)*100+MONTH(B184),"")</f>
        <v/>
      </c>
      <c r="D184" s="83"/>
      <c r="E184" s="40">
        <f t="array" ref="E184">IFERROR(_xlfn.XLOOKUP('Lançamentos'!$D184,Planilha1!$B$2:$B$35,Planilha1!$C$2:$C$35),0)</f>
        <v>0</v>
      </c>
      <c r="F184" s="84"/>
      <c r="G184" s="43" t="b">
        <v>0</v>
      </c>
      <c r="H184" s="45" t="str">
        <f>IF(AND('Análise'!$G$7="Pago",'Lançamentos'!$G184=TRUE),'Lançamentos'!$F184,IF(AND('Análise'!$G$7="Em Aberto",'Lançamentos'!$G184=FALSE),'Lançamentos'!$F184,IF('Análise'!$G$7="Todos",'Lançamentos'!$F184,0)))</f>
        <v/>
      </c>
    </row>
    <row r="185" ht="15.75" customHeight="1">
      <c r="B185" s="52"/>
      <c r="C185" s="27" t="str">
        <f>IF('Lançamentos'!$B185&lt;&gt;"",YEAR('Lançamentos'!$B185)*100+MONTH(B185),"")</f>
        <v/>
      </c>
      <c r="D185" s="83"/>
      <c r="E185" s="40">
        <f t="array" ref="E185">IFERROR(_xlfn.XLOOKUP('Lançamentos'!$D185,Planilha1!$B$2:$B$35,Planilha1!$C$2:$C$35),0)</f>
        <v>0</v>
      </c>
      <c r="F185" s="84"/>
      <c r="G185" s="43" t="b">
        <v>0</v>
      </c>
      <c r="H185" s="45" t="str">
        <f>IF(AND('Análise'!$G$7="Pago",'Lançamentos'!$G185=TRUE),'Lançamentos'!$F185,IF(AND('Análise'!$G$7="Em Aberto",'Lançamentos'!$G185=FALSE),'Lançamentos'!$F185,IF('Análise'!$G$7="Todos",'Lançamentos'!$F185,0)))</f>
        <v/>
      </c>
    </row>
    <row r="186" ht="15.75" customHeight="1">
      <c r="B186" s="52"/>
      <c r="C186" s="27" t="str">
        <f>IF('Lançamentos'!$B186&lt;&gt;"",YEAR('Lançamentos'!$B186)*100+MONTH(B186),"")</f>
        <v/>
      </c>
      <c r="D186" s="83"/>
      <c r="E186" s="40">
        <f t="array" ref="E186">IFERROR(_xlfn.XLOOKUP('Lançamentos'!$D186,Planilha1!$B$2:$B$35,Planilha1!$C$2:$C$35),0)</f>
        <v>0</v>
      </c>
      <c r="F186" s="84"/>
      <c r="G186" s="43" t="b">
        <v>0</v>
      </c>
      <c r="H186" s="45" t="str">
        <f>IF(AND('Análise'!$G$7="Pago",'Lançamentos'!$G186=TRUE),'Lançamentos'!$F186,IF(AND('Análise'!$G$7="Em Aberto",'Lançamentos'!$G186=FALSE),'Lançamentos'!$F186,IF('Análise'!$G$7="Todos",'Lançamentos'!$F186,0)))</f>
        <v/>
      </c>
    </row>
    <row r="187" ht="15.75" customHeight="1">
      <c r="B187" s="52"/>
      <c r="C187" s="27" t="str">
        <f>IF('Lançamentos'!$B187&lt;&gt;"",YEAR('Lançamentos'!$B187)*100+MONTH(B187),"")</f>
        <v/>
      </c>
      <c r="D187" s="83"/>
      <c r="E187" s="40">
        <f t="array" ref="E187">IFERROR(_xlfn.XLOOKUP('Lançamentos'!$D187,Planilha1!$B$2:$B$35,Planilha1!$C$2:$C$35),0)</f>
        <v>0</v>
      </c>
      <c r="F187" s="84"/>
      <c r="G187" s="43" t="b">
        <v>0</v>
      </c>
      <c r="H187" s="45" t="str">
        <f>IF(AND('Análise'!$G$7="Pago",'Lançamentos'!$G187=TRUE),'Lançamentos'!$F187,IF(AND('Análise'!$G$7="Em Aberto",'Lançamentos'!$G187=FALSE),'Lançamentos'!$F187,IF('Análise'!$G$7="Todos",'Lançamentos'!$F187,0)))</f>
        <v/>
      </c>
    </row>
    <row r="188" ht="15.75" customHeight="1">
      <c r="B188" s="52"/>
      <c r="C188" s="27" t="str">
        <f>IF('Lançamentos'!$B188&lt;&gt;"",YEAR('Lançamentos'!$B188)*100+MONTH(B188),"")</f>
        <v/>
      </c>
      <c r="D188" s="83"/>
      <c r="E188" s="40">
        <f t="array" ref="E188">IFERROR(_xlfn.XLOOKUP('Lançamentos'!$D188,Planilha1!$B$2:$B$35,Planilha1!$C$2:$C$35),0)</f>
        <v>0</v>
      </c>
      <c r="F188" s="84"/>
      <c r="G188" s="43" t="b">
        <v>0</v>
      </c>
      <c r="H188" s="45" t="str">
        <f>IF(AND('Análise'!$G$7="Pago",'Lançamentos'!$G188=TRUE),'Lançamentos'!$F188,IF(AND('Análise'!$G$7="Em Aberto",'Lançamentos'!$G188=FALSE),'Lançamentos'!$F188,IF('Análise'!$G$7="Todos",'Lançamentos'!$F188,0)))</f>
        <v/>
      </c>
    </row>
    <row r="189" ht="15.75" customHeight="1">
      <c r="B189" s="52"/>
      <c r="C189" s="27" t="str">
        <f>IF('Lançamentos'!$B189&lt;&gt;"",YEAR('Lançamentos'!$B189)*100+MONTH(B189),"")</f>
        <v/>
      </c>
      <c r="D189" s="83"/>
      <c r="E189" s="40">
        <f t="array" ref="E189">IFERROR(_xlfn.XLOOKUP('Lançamentos'!$D189,Planilha1!$B$2:$B$35,Planilha1!$C$2:$C$35),0)</f>
        <v>0</v>
      </c>
      <c r="F189" s="84"/>
      <c r="G189" s="43" t="b">
        <v>0</v>
      </c>
      <c r="H189" s="45" t="str">
        <f>IF(AND('Análise'!$G$7="Pago",'Lançamentos'!$G189=TRUE),'Lançamentos'!$F189,IF(AND('Análise'!$G$7="Em Aberto",'Lançamentos'!$G189=FALSE),'Lançamentos'!$F189,IF('Análise'!$G$7="Todos",'Lançamentos'!$F189,0)))</f>
        <v/>
      </c>
    </row>
    <row r="190" ht="15.75" customHeight="1">
      <c r="B190" s="52"/>
      <c r="C190" s="27" t="str">
        <f>IF('Lançamentos'!$B190&lt;&gt;"",YEAR('Lançamentos'!$B190)*100+MONTH(B190),"")</f>
        <v/>
      </c>
      <c r="D190" s="83"/>
      <c r="E190" s="40">
        <f t="array" ref="E190">IFERROR(_xlfn.XLOOKUP('Lançamentos'!$D190,Planilha1!$B$2:$B$35,Planilha1!$C$2:$C$35),0)</f>
        <v>0</v>
      </c>
      <c r="F190" s="84"/>
      <c r="G190" s="43" t="b">
        <v>0</v>
      </c>
      <c r="H190" s="45" t="str">
        <f>IF(AND('Análise'!$G$7="Pago",'Lançamentos'!$G190=TRUE),'Lançamentos'!$F190,IF(AND('Análise'!$G$7="Em Aberto",'Lançamentos'!$G190=FALSE),'Lançamentos'!$F190,IF('Análise'!$G$7="Todos",'Lançamentos'!$F190,0)))</f>
        <v/>
      </c>
    </row>
    <row r="191" ht="15.75" customHeight="1">
      <c r="B191" s="52"/>
      <c r="C191" s="27" t="str">
        <f>IF('Lançamentos'!$B191&lt;&gt;"",YEAR('Lançamentos'!$B191)*100+MONTH(B191),"")</f>
        <v/>
      </c>
      <c r="D191" s="83"/>
      <c r="E191" s="40">
        <f t="array" ref="E191">IFERROR(_xlfn.XLOOKUP('Lançamentos'!$D191,Planilha1!$B$2:$B$35,Planilha1!$C$2:$C$35),0)</f>
        <v>0</v>
      </c>
      <c r="F191" s="84"/>
      <c r="G191" s="43" t="b">
        <v>0</v>
      </c>
      <c r="H191" s="45" t="str">
        <f>IF(AND('Análise'!$G$7="Pago",'Lançamentos'!$G191=TRUE),'Lançamentos'!$F191,IF(AND('Análise'!$G$7="Em Aberto",'Lançamentos'!$G191=FALSE),'Lançamentos'!$F191,IF('Análise'!$G$7="Todos",'Lançamentos'!$F191,0)))</f>
        <v/>
      </c>
    </row>
    <row r="192" ht="15.75" customHeight="1">
      <c r="B192" s="52"/>
      <c r="C192" s="27" t="str">
        <f>IF('Lançamentos'!$B192&lt;&gt;"",YEAR('Lançamentos'!$B192)*100+MONTH(B192),"")</f>
        <v/>
      </c>
      <c r="D192" s="83"/>
      <c r="E192" s="40">
        <f t="array" ref="E192">IFERROR(_xlfn.XLOOKUP('Lançamentos'!$D192,Planilha1!$B$2:$B$35,Planilha1!$C$2:$C$35),0)</f>
        <v>0</v>
      </c>
      <c r="F192" s="84"/>
      <c r="G192" s="43" t="b">
        <v>0</v>
      </c>
      <c r="H192" s="45" t="str">
        <f>IF(AND('Análise'!$G$7="Pago",'Lançamentos'!$G192=TRUE),'Lançamentos'!$F192,IF(AND('Análise'!$G$7="Em Aberto",'Lançamentos'!$G192=FALSE),'Lançamentos'!$F192,IF('Análise'!$G$7="Todos",'Lançamentos'!$F192,0)))</f>
        <v/>
      </c>
    </row>
    <row r="193" ht="15.75" customHeight="1">
      <c r="B193" s="52"/>
      <c r="C193" s="27" t="str">
        <f>IF('Lançamentos'!$B193&lt;&gt;"",YEAR('Lançamentos'!$B193)*100+MONTH(B193),"")</f>
        <v/>
      </c>
      <c r="D193" s="83"/>
      <c r="E193" s="40">
        <f t="array" ref="E193">IFERROR(_xlfn.XLOOKUP('Lançamentos'!$D193,Planilha1!$B$2:$B$35,Planilha1!$C$2:$C$35),0)</f>
        <v>0</v>
      </c>
      <c r="F193" s="84"/>
      <c r="G193" s="43" t="b">
        <v>0</v>
      </c>
      <c r="H193" s="45" t="str">
        <f>IF(AND('Análise'!$G$7="Pago",'Lançamentos'!$G193=TRUE),'Lançamentos'!$F193,IF(AND('Análise'!$G$7="Em Aberto",'Lançamentos'!$G193=FALSE),'Lançamentos'!$F193,IF('Análise'!$G$7="Todos",'Lançamentos'!$F193,0)))</f>
        <v/>
      </c>
    </row>
    <row r="194" ht="15.75" customHeight="1">
      <c r="B194" s="52"/>
      <c r="C194" s="27" t="str">
        <f>IF('Lançamentos'!$B194&lt;&gt;"",YEAR('Lançamentos'!$B194)*100+MONTH(B194),"")</f>
        <v/>
      </c>
      <c r="D194" s="83"/>
      <c r="E194" s="40">
        <f t="array" ref="E194">IFERROR(_xlfn.XLOOKUP('Lançamentos'!$D194,Planilha1!$B$2:$B$35,Planilha1!$C$2:$C$35),0)</f>
        <v>0</v>
      </c>
      <c r="F194" s="84"/>
      <c r="G194" s="43" t="b">
        <v>0</v>
      </c>
      <c r="H194" s="45" t="str">
        <f>IF(AND('Análise'!$G$7="Pago",'Lançamentos'!$G194=TRUE),'Lançamentos'!$F194,IF(AND('Análise'!$G$7="Em Aberto",'Lançamentos'!$G194=FALSE),'Lançamentos'!$F194,IF('Análise'!$G$7="Todos",'Lançamentos'!$F194,0)))</f>
        <v/>
      </c>
    </row>
    <row r="195" ht="15.75" customHeight="1">
      <c r="B195" s="52"/>
      <c r="C195" s="27" t="str">
        <f>IF('Lançamentos'!$B195&lt;&gt;"",YEAR('Lançamentos'!$B195)*100+MONTH(B195),"")</f>
        <v/>
      </c>
      <c r="D195" s="83"/>
      <c r="E195" s="40">
        <f t="array" ref="E195">IFERROR(_xlfn.XLOOKUP('Lançamentos'!$D195,Planilha1!$B$2:$B$35,Planilha1!$C$2:$C$35),0)</f>
        <v>0</v>
      </c>
      <c r="F195" s="84"/>
      <c r="G195" s="43" t="b">
        <v>0</v>
      </c>
      <c r="H195" s="45" t="str">
        <f>IF(AND('Análise'!$G$7="Pago",'Lançamentos'!$G195=TRUE),'Lançamentos'!$F195,IF(AND('Análise'!$G$7="Em Aberto",'Lançamentos'!$G195=FALSE),'Lançamentos'!$F195,IF('Análise'!$G$7="Todos",'Lançamentos'!$F195,0)))</f>
        <v/>
      </c>
    </row>
    <row r="196" ht="15.75" customHeight="1">
      <c r="B196" s="52"/>
      <c r="C196" s="27" t="str">
        <f>IF('Lançamentos'!$B196&lt;&gt;"",YEAR('Lançamentos'!$B196)*100+MONTH(B196),"")</f>
        <v/>
      </c>
      <c r="D196" s="83"/>
      <c r="E196" s="40">
        <f t="array" ref="E196">IFERROR(_xlfn.XLOOKUP('Lançamentos'!$D196,Planilha1!$B$2:$B$35,Planilha1!$C$2:$C$35),0)</f>
        <v>0</v>
      </c>
      <c r="F196" s="84"/>
      <c r="G196" s="43" t="b">
        <v>0</v>
      </c>
      <c r="H196" s="45" t="str">
        <f>IF(AND('Análise'!$G$7="Pago",'Lançamentos'!$G196=TRUE),'Lançamentos'!$F196,IF(AND('Análise'!$G$7="Em Aberto",'Lançamentos'!$G196=FALSE),'Lançamentos'!$F196,IF('Análise'!$G$7="Todos",'Lançamentos'!$F196,0)))</f>
        <v/>
      </c>
    </row>
    <row r="197" ht="15.75" customHeight="1">
      <c r="B197" s="52"/>
      <c r="C197" s="27" t="str">
        <f>IF('Lançamentos'!$B197&lt;&gt;"",YEAR('Lançamentos'!$B197)*100+MONTH(B197),"")</f>
        <v/>
      </c>
      <c r="D197" s="83"/>
      <c r="E197" s="40">
        <f t="array" ref="E197">IFERROR(_xlfn.XLOOKUP('Lançamentos'!$D197,Planilha1!$B$2:$B$35,Planilha1!$C$2:$C$35),0)</f>
        <v>0</v>
      </c>
      <c r="F197" s="84"/>
      <c r="G197" s="43" t="b">
        <v>0</v>
      </c>
      <c r="H197" s="45" t="str">
        <f>IF(AND('Análise'!$G$7="Pago",'Lançamentos'!$G197=TRUE),'Lançamentos'!$F197,IF(AND('Análise'!$G$7="Em Aberto",'Lançamentos'!$G197=FALSE),'Lançamentos'!$F197,IF('Análise'!$G$7="Todos",'Lançamentos'!$F197,0)))</f>
        <v/>
      </c>
    </row>
    <row r="198" ht="15.75" customHeight="1">
      <c r="B198" s="52"/>
      <c r="C198" s="27" t="str">
        <f>IF('Lançamentos'!$B198&lt;&gt;"",YEAR('Lançamentos'!$B198)*100+MONTH(B198),"")</f>
        <v/>
      </c>
      <c r="D198" s="83"/>
      <c r="E198" s="40">
        <f t="array" ref="E198">IFERROR(_xlfn.XLOOKUP('Lançamentos'!$D198,Planilha1!$B$2:$B$35,Planilha1!$C$2:$C$35),0)</f>
        <v>0</v>
      </c>
      <c r="F198" s="84"/>
      <c r="G198" s="43" t="b">
        <v>0</v>
      </c>
      <c r="H198" s="45" t="str">
        <f>IF(AND('Análise'!$G$7="Pago",'Lançamentos'!$G198=TRUE),'Lançamentos'!$F198,IF(AND('Análise'!$G$7="Em Aberto",'Lançamentos'!$G198=FALSE),'Lançamentos'!$F198,IF('Análise'!$G$7="Todos",'Lançamentos'!$F198,0)))</f>
        <v/>
      </c>
    </row>
    <row r="199" ht="15.75" customHeight="1">
      <c r="B199" s="52"/>
      <c r="C199" s="27" t="str">
        <f>IF('Lançamentos'!$B199&lt;&gt;"",YEAR('Lançamentos'!$B199)*100+MONTH(B199),"")</f>
        <v/>
      </c>
      <c r="D199" s="83"/>
      <c r="E199" s="40">
        <f t="array" ref="E199">IFERROR(_xlfn.XLOOKUP('Lançamentos'!$D199,Planilha1!$B$2:$B$35,Planilha1!$C$2:$C$35),0)</f>
        <v>0</v>
      </c>
      <c r="F199" s="84"/>
      <c r="G199" s="43" t="b">
        <v>0</v>
      </c>
      <c r="H199" s="45" t="str">
        <f>IF(AND('Análise'!$G$7="Pago",'Lançamentos'!$G199=TRUE),'Lançamentos'!$F199,IF(AND('Análise'!$G$7="Em Aberto",'Lançamentos'!$G199=FALSE),'Lançamentos'!$F199,IF('Análise'!$G$7="Todos",'Lançamentos'!$F199,0)))</f>
        <v/>
      </c>
    </row>
    <row r="200" ht="15.75" customHeight="1">
      <c r="B200" s="52"/>
      <c r="C200" s="27" t="str">
        <f>IF('Lançamentos'!$B200&lt;&gt;"",YEAR('Lançamentos'!$B200)*100+MONTH(B200),"")</f>
        <v/>
      </c>
      <c r="D200" s="83"/>
      <c r="E200" s="40">
        <f t="array" ref="E200">IFERROR(_xlfn.XLOOKUP('Lançamentos'!$D200,Planilha1!$B$2:$B$35,Planilha1!$C$2:$C$35),0)</f>
        <v>0</v>
      </c>
      <c r="F200" s="84"/>
      <c r="G200" s="43" t="b">
        <v>0</v>
      </c>
      <c r="H200" s="45" t="str">
        <f>IF(AND('Análise'!$G$7="Pago",'Lançamentos'!$G200=TRUE),'Lançamentos'!$F200,IF(AND('Análise'!$G$7="Em Aberto",'Lançamentos'!$G200=FALSE),'Lançamentos'!$F200,IF('Análise'!$G$7="Todos",'Lançamentos'!$F200,0)))</f>
        <v/>
      </c>
    </row>
    <row r="201" ht="15.75" customHeight="1">
      <c r="B201" s="52"/>
      <c r="C201" s="27" t="str">
        <f>IF('Lançamentos'!$B201&lt;&gt;"",YEAR('Lançamentos'!$B201)*100+MONTH(B201),"")</f>
        <v/>
      </c>
      <c r="D201" s="83"/>
      <c r="E201" s="40">
        <f t="array" ref="E201">IFERROR(_xlfn.XLOOKUP('Lançamentos'!$D201,Planilha1!$B$2:$B$35,Planilha1!$C$2:$C$35),0)</f>
        <v>0</v>
      </c>
      <c r="F201" s="84"/>
      <c r="G201" s="43" t="b">
        <v>0</v>
      </c>
      <c r="H201" s="45" t="str">
        <f>IF(AND('Análise'!$G$7="Pago",'Lançamentos'!$G201=TRUE),'Lançamentos'!$F201,IF(AND('Análise'!$G$7="Em Aberto",'Lançamentos'!$G201=FALSE),'Lançamentos'!$F201,IF('Análise'!$G$7="Todos",'Lançamentos'!$F201,0)))</f>
        <v/>
      </c>
    </row>
    <row r="202" ht="15.75" customHeight="1">
      <c r="B202" s="52"/>
      <c r="C202" s="27" t="str">
        <f>IF('Lançamentos'!$B202&lt;&gt;"",YEAR('Lançamentos'!$B202)*100+MONTH(B202),"")</f>
        <v/>
      </c>
      <c r="D202" s="83"/>
      <c r="E202" s="40">
        <f t="array" ref="E202">IFERROR(_xlfn.XLOOKUP('Lançamentos'!$D202,Planilha1!$B$2:$B$35,Planilha1!$C$2:$C$35),0)</f>
        <v>0</v>
      </c>
      <c r="F202" s="84"/>
      <c r="G202" s="43" t="b">
        <v>0</v>
      </c>
      <c r="H202" s="45" t="str">
        <f>IF(AND('Análise'!$G$7="Pago",'Lançamentos'!$G202=TRUE),'Lançamentos'!$F202,IF(AND('Análise'!$G$7="Em Aberto",'Lançamentos'!$G202=FALSE),'Lançamentos'!$F202,IF('Análise'!$G$7="Todos",'Lançamentos'!$F202,0)))</f>
        <v/>
      </c>
    </row>
    <row r="203" ht="15.75" customHeight="1">
      <c r="B203" s="52"/>
      <c r="C203" s="27" t="str">
        <f>IF('Lançamentos'!$B203&lt;&gt;"",YEAR('Lançamentos'!$B203)*100+MONTH(B203),"")</f>
        <v/>
      </c>
      <c r="D203" s="83"/>
      <c r="E203" s="40">
        <f t="array" ref="E203">IFERROR(_xlfn.XLOOKUP('Lançamentos'!$D203,Planilha1!$B$2:$B$35,Planilha1!$C$2:$C$35),0)</f>
        <v>0</v>
      </c>
      <c r="F203" s="84"/>
      <c r="G203" s="43" t="b">
        <v>0</v>
      </c>
      <c r="H203" s="45" t="str">
        <f>IF(AND('Análise'!$G$7="Pago",'Lançamentos'!$G203=TRUE),'Lançamentos'!$F203,IF(AND('Análise'!$G$7="Em Aberto",'Lançamentos'!$G203=FALSE),'Lançamentos'!$F203,IF('Análise'!$G$7="Todos",'Lançamentos'!$F203,0)))</f>
        <v/>
      </c>
    </row>
    <row r="204" ht="15.75" customHeight="1">
      <c r="B204" s="52"/>
      <c r="C204" s="27" t="str">
        <f>IF('Lançamentos'!$B204&lt;&gt;"",YEAR('Lançamentos'!$B204)*100+MONTH(B204),"")</f>
        <v/>
      </c>
      <c r="D204" s="83"/>
      <c r="E204" s="40">
        <f t="array" ref="E204">IFERROR(_xlfn.XLOOKUP('Lançamentos'!$D204,Planilha1!$B$2:$B$35,Planilha1!$C$2:$C$35),0)</f>
        <v>0</v>
      </c>
      <c r="F204" s="84"/>
      <c r="G204" s="43" t="b">
        <v>0</v>
      </c>
      <c r="H204" s="45" t="str">
        <f>IF(AND('Análise'!$G$7="Pago",'Lançamentos'!$G204=TRUE),'Lançamentos'!$F204,IF(AND('Análise'!$G$7="Em Aberto",'Lançamentos'!$G204=FALSE),'Lançamentos'!$F204,IF('Análise'!$G$7="Todos",'Lançamentos'!$F204,0)))</f>
        <v/>
      </c>
    </row>
    <row r="205" ht="15.75" customHeight="1">
      <c r="B205" s="52"/>
      <c r="C205" s="27" t="str">
        <f>IF('Lançamentos'!$B205&lt;&gt;"",YEAR('Lançamentos'!$B205)*100+MONTH(B205),"")</f>
        <v/>
      </c>
      <c r="D205" s="83"/>
      <c r="E205" s="40">
        <f t="array" ref="E205">IFERROR(_xlfn.XLOOKUP('Lançamentos'!$D205,Planilha1!$B$2:$B$35,Planilha1!$C$2:$C$35),0)</f>
        <v>0</v>
      </c>
      <c r="F205" s="84"/>
      <c r="G205" s="43" t="b">
        <v>0</v>
      </c>
      <c r="H205" s="45" t="str">
        <f>IF(AND('Análise'!$G$7="Pago",'Lançamentos'!$G205=TRUE),'Lançamentos'!$F205,IF(AND('Análise'!$G$7="Em Aberto",'Lançamentos'!$G205=FALSE),'Lançamentos'!$F205,IF('Análise'!$G$7="Todos",'Lançamentos'!$F205,0)))</f>
        <v/>
      </c>
    </row>
    <row r="206" ht="15.75" customHeight="1">
      <c r="B206" s="52"/>
      <c r="C206" s="27" t="str">
        <f>IF('Lançamentos'!$B206&lt;&gt;"",YEAR('Lançamentos'!$B206)*100+MONTH(B206),"")</f>
        <v/>
      </c>
      <c r="D206" s="83"/>
      <c r="E206" s="40">
        <f t="array" ref="E206">IFERROR(_xlfn.XLOOKUP('Lançamentos'!$D206,Planilha1!$B$2:$B$35,Planilha1!$C$2:$C$35),0)</f>
        <v>0</v>
      </c>
      <c r="F206" s="84"/>
      <c r="G206" s="43" t="b">
        <v>0</v>
      </c>
      <c r="H206" s="45" t="str">
        <f>IF(AND('Análise'!$G$7="Pago",'Lançamentos'!$G206=TRUE),'Lançamentos'!$F206,IF(AND('Análise'!$G$7="Em Aberto",'Lançamentos'!$G206=FALSE),'Lançamentos'!$F206,IF('Análise'!$G$7="Todos",'Lançamentos'!$F206,0)))</f>
        <v/>
      </c>
    </row>
    <row r="207" ht="15.75" customHeight="1">
      <c r="B207" s="52"/>
      <c r="C207" s="27" t="str">
        <f>IF('Lançamentos'!$B207&lt;&gt;"",YEAR('Lançamentos'!$B207)*100+MONTH(B207),"")</f>
        <v/>
      </c>
      <c r="D207" s="83"/>
      <c r="E207" s="40">
        <f t="array" ref="E207">IFERROR(_xlfn.XLOOKUP('Lançamentos'!$D207,Planilha1!$B$2:$B$35,Planilha1!$C$2:$C$35),0)</f>
        <v>0</v>
      </c>
      <c r="F207" s="84"/>
      <c r="G207" s="43" t="b">
        <v>0</v>
      </c>
      <c r="H207" s="45" t="str">
        <f>IF(AND('Análise'!$G$7="Pago",'Lançamentos'!$G207=TRUE),'Lançamentos'!$F207,IF(AND('Análise'!$G$7="Em Aberto",'Lançamentos'!$G207=FALSE),'Lançamentos'!$F207,IF('Análise'!$G$7="Todos",'Lançamentos'!$F207,0)))</f>
        <v/>
      </c>
    </row>
    <row r="208" ht="15.75" customHeight="1">
      <c r="B208" s="52"/>
      <c r="C208" s="27" t="str">
        <f>IF('Lançamentos'!$B208&lt;&gt;"",YEAR('Lançamentos'!$B208)*100+MONTH(B208),"")</f>
        <v/>
      </c>
      <c r="D208" s="83"/>
      <c r="E208" s="40">
        <f t="array" ref="E208">IFERROR(_xlfn.XLOOKUP('Lançamentos'!$D208,Planilha1!$B$2:$B$35,Planilha1!$C$2:$C$35),0)</f>
        <v>0</v>
      </c>
      <c r="F208" s="84"/>
      <c r="G208" s="43" t="b">
        <v>0</v>
      </c>
      <c r="H208" s="45" t="str">
        <f>IF(AND('Análise'!$G$7="Pago",'Lançamentos'!$G208=TRUE),'Lançamentos'!$F208,IF(AND('Análise'!$G$7="Em Aberto",'Lançamentos'!$G208=FALSE),'Lançamentos'!$F208,IF('Análise'!$G$7="Todos",'Lançamentos'!$F208,0)))</f>
        <v/>
      </c>
    </row>
    <row r="209" ht="15.75" customHeight="1">
      <c r="B209" s="52"/>
      <c r="C209" s="27" t="str">
        <f>IF('Lançamentos'!$B209&lt;&gt;"",YEAR('Lançamentos'!$B209)*100+MONTH(B209),"")</f>
        <v/>
      </c>
      <c r="D209" s="83"/>
      <c r="E209" s="40">
        <f t="array" ref="E209">IFERROR(_xlfn.XLOOKUP('Lançamentos'!$D209,Planilha1!$B$2:$B$35,Planilha1!$C$2:$C$35),0)</f>
        <v>0</v>
      </c>
      <c r="F209" s="84"/>
      <c r="G209" s="43" t="b">
        <v>0</v>
      </c>
      <c r="H209" s="45" t="str">
        <f>IF(AND('Análise'!$G$7="Pago",'Lançamentos'!$G209=TRUE),'Lançamentos'!$F209,IF(AND('Análise'!$G$7="Em Aberto",'Lançamentos'!$G209=FALSE),'Lançamentos'!$F209,IF('Análise'!$G$7="Todos",'Lançamentos'!$F209,0)))</f>
        <v/>
      </c>
    </row>
    <row r="210" ht="15.75" customHeight="1">
      <c r="B210" s="52"/>
      <c r="C210" s="27" t="str">
        <f>IF('Lançamentos'!$B210&lt;&gt;"",YEAR('Lançamentos'!$B210)*100+MONTH(B210),"")</f>
        <v/>
      </c>
      <c r="D210" s="83"/>
      <c r="E210" s="40">
        <f t="array" ref="E210">IFERROR(_xlfn.XLOOKUP('Lançamentos'!$D210,Planilha1!$B$2:$B$35,Planilha1!$C$2:$C$35),0)</f>
        <v>0</v>
      </c>
      <c r="F210" s="84"/>
      <c r="G210" s="43" t="b">
        <v>0</v>
      </c>
      <c r="H210" s="45" t="str">
        <f>IF(AND('Análise'!$G$7="Pago",'Lançamentos'!$G210=TRUE),'Lançamentos'!$F210,IF(AND('Análise'!$G$7="Em Aberto",'Lançamentos'!$G210=FALSE),'Lançamentos'!$F210,IF('Análise'!$G$7="Todos",'Lançamentos'!$F210,0)))</f>
        <v/>
      </c>
    </row>
    <row r="211" ht="15.75" customHeight="1">
      <c r="B211" s="52"/>
      <c r="C211" s="27" t="str">
        <f>IF('Lançamentos'!$B211&lt;&gt;"",YEAR('Lançamentos'!$B211)*100+MONTH(B211),"")</f>
        <v/>
      </c>
      <c r="D211" s="83"/>
      <c r="E211" s="40">
        <f t="array" ref="E211">IFERROR(_xlfn.XLOOKUP('Lançamentos'!$D211,Planilha1!$B$2:$B$35,Planilha1!$C$2:$C$35),0)</f>
        <v>0</v>
      </c>
      <c r="F211" s="84"/>
      <c r="G211" s="43" t="b">
        <v>0</v>
      </c>
      <c r="H211" s="45" t="str">
        <f>IF(AND('Análise'!$G$7="Pago",'Lançamentos'!$G211=TRUE),'Lançamentos'!$F211,IF(AND('Análise'!$G$7="Em Aberto",'Lançamentos'!$G211=FALSE),'Lançamentos'!$F211,IF('Análise'!$G$7="Todos",'Lançamentos'!$F211,0)))</f>
        <v/>
      </c>
    </row>
    <row r="212" ht="15.75" customHeight="1">
      <c r="B212" s="52"/>
      <c r="C212" s="27" t="str">
        <f>IF('Lançamentos'!$B212&lt;&gt;"",YEAR('Lançamentos'!$B212)*100+MONTH(B212),"")</f>
        <v/>
      </c>
      <c r="D212" s="83"/>
      <c r="E212" s="40">
        <f t="array" ref="E212">IFERROR(_xlfn.XLOOKUP('Lançamentos'!$D212,Planilha1!$B$2:$B$35,Planilha1!$C$2:$C$35),0)</f>
        <v>0</v>
      </c>
      <c r="F212" s="84"/>
      <c r="G212" s="43" t="b">
        <v>0</v>
      </c>
      <c r="H212" s="45" t="str">
        <f>IF(AND('Análise'!$G$7="Pago",'Lançamentos'!$G212=TRUE),'Lançamentos'!$F212,IF(AND('Análise'!$G$7="Em Aberto",'Lançamentos'!$G212=FALSE),'Lançamentos'!$F212,IF('Análise'!$G$7="Todos",'Lançamentos'!$F212,0)))</f>
        <v/>
      </c>
    </row>
    <row r="213" ht="15.75" customHeight="1">
      <c r="B213" s="52"/>
      <c r="C213" s="27" t="str">
        <f>IF('Lançamentos'!$B213&lt;&gt;"",YEAR('Lançamentos'!$B213)*100+MONTH(B213),"")</f>
        <v/>
      </c>
      <c r="D213" s="83"/>
      <c r="E213" s="40">
        <f t="array" ref="E213">IFERROR(_xlfn.XLOOKUP('Lançamentos'!$D213,Planilha1!$B$2:$B$35,Planilha1!$C$2:$C$35),0)</f>
        <v>0</v>
      </c>
      <c r="F213" s="84"/>
      <c r="G213" s="43" t="b">
        <v>0</v>
      </c>
      <c r="H213" s="45" t="str">
        <f>IF(AND('Análise'!$G$7="Pago",'Lançamentos'!$G213=TRUE),'Lançamentos'!$F213,IF(AND('Análise'!$G$7="Em Aberto",'Lançamentos'!$G213=FALSE),'Lançamentos'!$F213,IF('Análise'!$G$7="Todos",'Lançamentos'!$F213,0)))</f>
        <v/>
      </c>
    </row>
    <row r="214" ht="15.75" customHeight="1">
      <c r="B214" s="52"/>
      <c r="C214" s="27" t="str">
        <f>IF('Lançamentos'!$B214&lt;&gt;"",YEAR('Lançamentos'!$B214)*100+MONTH(B214),"")</f>
        <v/>
      </c>
      <c r="D214" s="83"/>
      <c r="E214" s="40">
        <f t="array" ref="E214">IFERROR(_xlfn.XLOOKUP('Lançamentos'!$D214,Planilha1!$B$2:$B$35,Planilha1!$C$2:$C$35),0)</f>
        <v>0</v>
      </c>
      <c r="F214" s="84"/>
      <c r="G214" s="43" t="b">
        <v>0</v>
      </c>
      <c r="H214" s="45" t="str">
        <f>IF(AND('Análise'!$G$7="Pago",'Lançamentos'!$G214=TRUE),'Lançamentos'!$F214,IF(AND('Análise'!$G$7="Em Aberto",'Lançamentos'!$G214=FALSE),'Lançamentos'!$F214,IF('Análise'!$G$7="Todos",'Lançamentos'!$F214,0)))</f>
        <v/>
      </c>
    </row>
    <row r="215" ht="15.75" customHeight="1">
      <c r="B215" s="52"/>
      <c r="C215" s="27" t="str">
        <f>IF('Lançamentos'!$B215&lt;&gt;"",YEAR('Lançamentos'!$B215)*100+MONTH(B215),"")</f>
        <v/>
      </c>
      <c r="D215" s="83"/>
      <c r="E215" s="40">
        <f t="array" ref="E215">IFERROR(_xlfn.XLOOKUP('Lançamentos'!$D215,Planilha1!$B$2:$B$35,Planilha1!$C$2:$C$35),0)</f>
        <v>0</v>
      </c>
      <c r="F215" s="84"/>
      <c r="G215" s="43" t="b">
        <v>0</v>
      </c>
      <c r="H215" s="45" t="str">
        <f>IF(AND('Análise'!$G$7="Pago",'Lançamentos'!$G215=TRUE),'Lançamentos'!$F215,IF(AND('Análise'!$G$7="Em Aberto",'Lançamentos'!$G215=FALSE),'Lançamentos'!$F215,IF('Análise'!$G$7="Todos",'Lançamentos'!$F215,0)))</f>
        <v/>
      </c>
    </row>
    <row r="216" ht="15.75" customHeight="1">
      <c r="B216" s="52"/>
      <c r="C216" s="27" t="str">
        <f>IF('Lançamentos'!$B216&lt;&gt;"",YEAR('Lançamentos'!$B216)*100+MONTH(B216),"")</f>
        <v/>
      </c>
      <c r="D216" s="83"/>
      <c r="E216" s="40">
        <f t="array" ref="E216">IFERROR(_xlfn.XLOOKUP('Lançamentos'!$D216,Planilha1!$B$2:$B$35,Planilha1!$C$2:$C$35),0)</f>
        <v>0</v>
      </c>
      <c r="F216" s="84"/>
      <c r="G216" s="43" t="b">
        <v>0</v>
      </c>
      <c r="H216" s="45" t="str">
        <f>IF(AND('Análise'!$G$7="Pago",'Lançamentos'!$G216=TRUE),'Lançamentos'!$F216,IF(AND('Análise'!$G$7="Em Aberto",'Lançamentos'!$G216=FALSE),'Lançamentos'!$F216,IF('Análise'!$G$7="Todos",'Lançamentos'!$F216,0)))</f>
        <v/>
      </c>
    </row>
    <row r="217" ht="15.75" customHeight="1">
      <c r="B217" s="52"/>
      <c r="C217" s="27" t="str">
        <f>IF('Lançamentos'!$B217&lt;&gt;"",YEAR('Lançamentos'!$B217)*100+MONTH(B217),"")</f>
        <v/>
      </c>
      <c r="D217" s="83"/>
      <c r="E217" s="40">
        <f t="array" ref="E217">IFERROR(_xlfn.XLOOKUP('Lançamentos'!$D217,Planilha1!$B$2:$B$35,Planilha1!$C$2:$C$35),0)</f>
        <v>0</v>
      </c>
      <c r="F217" s="84"/>
      <c r="G217" s="43" t="b">
        <v>0</v>
      </c>
      <c r="H217" s="45" t="str">
        <f>IF(AND('Análise'!$G$7="Pago",'Lançamentos'!$G217=TRUE),'Lançamentos'!$F217,IF(AND('Análise'!$G$7="Em Aberto",'Lançamentos'!$G217=FALSE),'Lançamentos'!$F217,IF('Análise'!$G$7="Todos",'Lançamentos'!$F217,0)))</f>
        <v/>
      </c>
    </row>
    <row r="218" ht="15.75" customHeight="1">
      <c r="B218" s="52"/>
      <c r="C218" s="27" t="str">
        <f>IF('Lançamentos'!$B218&lt;&gt;"",YEAR('Lançamentos'!$B218)*100+MONTH(B218),"")</f>
        <v/>
      </c>
      <c r="D218" s="83"/>
      <c r="E218" s="40">
        <f t="array" ref="E218">IFERROR(_xlfn.XLOOKUP('Lançamentos'!$D218,Planilha1!$B$2:$B$35,Planilha1!$C$2:$C$35),0)</f>
        <v>0</v>
      </c>
      <c r="F218" s="84"/>
      <c r="G218" s="43" t="b">
        <v>0</v>
      </c>
      <c r="H218" s="45" t="str">
        <f>IF(AND('Análise'!$G$7="Pago",'Lançamentos'!$G218=TRUE),'Lançamentos'!$F218,IF(AND('Análise'!$G$7="Em Aberto",'Lançamentos'!$G218=FALSE),'Lançamentos'!$F218,IF('Análise'!$G$7="Todos",'Lançamentos'!$F218,0)))</f>
        <v/>
      </c>
    </row>
    <row r="219" ht="15.75" customHeight="1">
      <c r="B219" s="52"/>
      <c r="C219" s="27" t="str">
        <f>IF('Lançamentos'!$B219&lt;&gt;"",YEAR('Lançamentos'!$B219)*100+MONTH(B219),"")</f>
        <v/>
      </c>
      <c r="D219" s="83"/>
      <c r="E219" s="40">
        <f t="array" ref="E219">IFERROR(_xlfn.XLOOKUP('Lançamentos'!$D219,Planilha1!$B$2:$B$35,Planilha1!$C$2:$C$35),0)</f>
        <v>0</v>
      </c>
      <c r="F219" s="84"/>
      <c r="G219" s="43" t="b">
        <v>0</v>
      </c>
      <c r="H219" s="45" t="str">
        <f>IF(AND('Análise'!$G$7="Pago",'Lançamentos'!$G219=TRUE),'Lançamentos'!$F219,IF(AND('Análise'!$G$7="Em Aberto",'Lançamentos'!$G219=FALSE),'Lançamentos'!$F219,IF('Análise'!$G$7="Todos",'Lançamentos'!$F219,0)))</f>
        <v/>
      </c>
    </row>
    <row r="220" ht="15.75" customHeight="1">
      <c r="B220" s="52"/>
      <c r="C220" s="27" t="str">
        <f>IF('Lançamentos'!$B220&lt;&gt;"",YEAR('Lançamentos'!$B220)*100+MONTH(B220),"")</f>
        <v/>
      </c>
      <c r="D220" s="83"/>
      <c r="E220" s="40">
        <f t="array" ref="E220">IFERROR(_xlfn.XLOOKUP('Lançamentos'!$D220,Planilha1!$B$2:$B$35,Planilha1!$C$2:$C$35),0)</f>
        <v>0</v>
      </c>
      <c r="F220" s="84"/>
      <c r="G220" s="43" t="b">
        <v>0</v>
      </c>
      <c r="H220" s="45" t="str">
        <f>IF(AND('Análise'!$G$7="Pago",'Lançamentos'!$G220=TRUE),'Lançamentos'!$F220,IF(AND('Análise'!$G$7="Em Aberto",'Lançamentos'!$G220=FALSE),'Lançamentos'!$F220,IF('Análise'!$G$7="Todos",'Lançamentos'!$F220,0)))</f>
        <v/>
      </c>
    </row>
    <row r="221" ht="15.75" customHeight="1">
      <c r="B221" s="52"/>
      <c r="C221" s="27" t="str">
        <f>IF('Lançamentos'!$B221&lt;&gt;"",YEAR('Lançamentos'!$B221)*100+MONTH(B221),"")</f>
        <v/>
      </c>
      <c r="D221" s="83"/>
      <c r="E221" s="40">
        <f t="array" ref="E221">IFERROR(_xlfn.XLOOKUP('Lançamentos'!$D221,Planilha1!$B$2:$B$35,Planilha1!$C$2:$C$35),0)</f>
        <v>0</v>
      </c>
      <c r="F221" s="84"/>
      <c r="G221" s="43" t="b">
        <v>0</v>
      </c>
      <c r="H221" s="45" t="str">
        <f>IF(AND('Análise'!$G$7="Pago",'Lançamentos'!$G221=TRUE),'Lançamentos'!$F221,IF(AND('Análise'!$G$7="Em Aberto",'Lançamentos'!$G221=FALSE),'Lançamentos'!$F221,IF('Análise'!$G$7="Todos",'Lançamentos'!$F221,0)))</f>
        <v/>
      </c>
    </row>
    <row r="222" ht="15.75" customHeight="1">
      <c r="B222" s="52"/>
      <c r="C222" s="27" t="str">
        <f>IF('Lançamentos'!$B222&lt;&gt;"",YEAR('Lançamentos'!$B222)*100+MONTH(B222),"")</f>
        <v/>
      </c>
      <c r="D222" s="83"/>
      <c r="E222" s="40">
        <f t="array" ref="E222">IFERROR(_xlfn.XLOOKUP('Lançamentos'!$D222,Planilha1!$B$2:$B$35,Planilha1!$C$2:$C$35),0)</f>
        <v>0</v>
      </c>
      <c r="F222" s="84"/>
      <c r="G222" s="43" t="b">
        <v>0</v>
      </c>
      <c r="H222" s="45" t="str">
        <f>IF(AND('Análise'!$G$7="Pago",'Lançamentos'!$G222=TRUE),'Lançamentos'!$F222,IF(AND('Análise'!$G$7="Em Aberto",'Lançamentos'!$G222=FALSE),'Lançamentos'!$F222,IF('Análise'!$G$7="Todos",'Lançamentos'!$F222,0)))</f>
        <v/>
      </c>
    </row>
    <row r="223" ht="15.75" customHeight="1">
      <c r="B223" s="52"/>
      <c r="C223" s="27" t="str">
        <f>IF('Lançamentos'!$B223&lt;&gt;"",YEAR('Lançamentos'!$B223)*100+MONTH(B223),"")</f>
        <v/>
      </c>
      <c r="D223" s="83"/>
      <c r="E223" s="40">
        <f t="array" ref="E223">IFERROR(_xlfn.XLOOKUP('Lançamentos'!$D223,Planilha1!$B$2:$B$35,Planilha1!$C$2:$C$35),0)</f>
        <v>0</v>
      </c>
      <c r="F223" s="84"/>
      <c r="G223" s="43" t="b">
        <v>0</v>
      </c>
      <c r="H223" s="45" t="str">
        <f>IF(AND('Análise'!$G$7="Pago",'Lançamentos'!$G223=TRUE),'Lançamentos'!$F223,IF(AND('Análise'!$G$7="Em Aberto",'Lançamentos'!$G223=FALSE),'Lançamentos'!$F223,IF('Análise'!$G$7="Todos",'Lançamentos'!$F223,0)))</f>
        <v/>
      </c>
    </row>
    <row r="224" ht="15.75" customHeight="1">
      <c r="B224" s="52"/>
      <c r="C224" s="27" t="str">
        <f>IF('Lançamentos'!$B224&lt;&gt;"",YEAR('Lançamentos'!$B224)*100+MONTH(B224),"")</f>
        <v/>
      </c>
      <c r="D224" s="83"/>
      <c r="E224" s="40">
        <f t="array" ref="E224">IFERROR(_xlfn.XLOOKUP('Lançamentos'!$D224,Planilha1!$B$2:$B$35,Planilha1!$C$2:$C$35),0)</f>
        <v>0</v>
      </c>
      <c r="F224" s="84"/>
      <c r="G224" s="43" t="b">
        <v>0</v>
      </c>
      <c r="H224" s="45" t="str">
        <f>IF(AND('Análise'!$G$7="Pago",'Lançamentos'!$G224=TRUE),'Lançamentos'!$F224,IF(AND('Análise'!$G$7="Em Aberto",'Lançamentos'!$G224=FALSE),'Lançamentos'!$F224,IF('Análise'!$G$7="Todos",'Lançamentos'!$F224,0)))</f>
        <v/>
      </c>
    </row>
    <row r="225" ht="15.75" customHeight="1">
      <c r="B225" s="52"/>
      <c r="C225" s="27" t="str">
        <f>IF('Lançamentos'!$B225&lt;&gt;"",YEAR('Lançamentos'!$B225)*100+MONTH(B225),"")</f>
        <v/>
      </c>
      <c r="D225" s="83"/>
      <c r="E225" s="40">
        <f t="array" ref="E225">IFERROR(_xlfn.XLOOKUP('Lançamentos'!$D225,Planilha1!$B$2:$B$35,Planilha1!$C$2:$C$35),0)</f>
        <v>0</v>
      </c>
      <c r="F225" s="84"/>
      <c r="G225" s="43" t="b">
        <v>0</v>
      </c>
      <c r="H225" s="45" t="str">
        <f>IF(AND('Análise'!$G$7="Pago",'Lançamentos'!$G225=TRUE),'Lançamentos'!$F225,IF(AND('Análise'!$G$7="Em Aberto",'Lançamentos'!$G225=FALSE),'Lançamentos'!$F225,IF('Análise'!$G$7="Todos",'Lançamentos'!$F225,0)))</f>
        <v/>
      </c>
    </row>
    <row r="226" ht="15.75" customHeight="1">
      <c r="B226" s="52"/>
      <c r="C226" s="27" t="str">
        <f>IF('Lançamentos'!$B226&lt;&gt;"",YEAR('Lançamentos'!$B226)*100+MONTH(B226),"")</f>
        <v/>
      </c>
      <c r="D226" s="83"/>
      <c r="E226" s="40">
        <f t="array" ref="E226">IFERROR(_xlfn.XLOOKUP('Lançamentos'!$D226,Planilha1!$B$2:$B$35,Planilha1!$C$2:$C$35),0)</f>
        <v>0</v>
      </c>
      <c r="F226" s="84"/>
      <c r="G226" s="43" t="b">
        <v>0</v>
      </c>
      <c r="H226" s="45" t="str">
        <f>IF(AND('Análise'!$G$7="Pago",'Lançamentos'!$G226=TRUE),'Lançamentos'!$F226,IF(AND('Análise'!$G$7="Em Aberto",'Lançamentos'!$G226=FALSE),'Lançamentos'!$F226,IF('Análise'!$G$7="Todos",'Lançamentos'!$F226,0)))</f>
        <v/>
      </c>
    </row>
    <row r="227" ht="15.75" customHeight="1">
      <c r="B227" s="52"/>
      <c r="C227" s="27" t="str">
        <f>IF('Lançamentos'!$B227&lt;&gt;"",YEAR('Lançamentos'!$B227)*100+MONTH(B227),"")</f>
        <v/>
      </c>
      <c r="D227" s="83"/>
      <c r="E227" s="40">
        <f t="array" ref="E227">IFERROR(_xlfn.XLOOKUP('Lançamentos'!$D227,Planilha1!$B$2:$B$35,Planilha1!$C$2:$C$35),0)</f>
        <v>0</v>
      </c>
      <c r="F227" s="84"/>
      <c r="G227" s="43" t="b">
        <v>0</v>
      </c>
      <c r="H227" s="45" t="str">
        <f>IF(AND('Análise'!$G$7="Pago",'Lançamentos'!$G227=TRUE),'Lançamentos'!$F227,IF(AND('Análise'!$G$7="Em Aberto",'Lançamentos'!$G227=FALSE),'Lançamentos'!$F227,IF('Análise'!$G$7="Todos",'Lançamentos'!$F227,0)))</f>
        <v/>
      </c>
    </row>
    <row r="228" ht="15.75" customHeight="1">
      <c r="B228" s="52"/>
      <c r="C228" s="27" t="str">
        <f>IF('Lançamentos'!$B228&lt;&gt;"",YEAR('Lançamentos'!$B228)*100+MONTH(B228),"")</f>
        <v/>
      </c>
      <c r="D228" s="83"/>
      <c r="E228" s="40">
        <f t="array" ref="E228">IFERROR(_xlfn.XLOOKUP('Lançamentos'!$D228,Planilha1!$B$2:$B$35,Planilha1!$C$2:$C$35),0)</f>
        <v>0</v>
      </c>
      <c r="F228" s="84"/>
      <c r="G228" s="43" t="b">
        <v>0</v>
      </c>
      <c r="H228" s="45" t="str">
        <f>IF(AND('Análise'!$G$7="Pago",'Lançamentos'!$G228=TRUE),'Lançamentos'!$F228,IF(AND('Análise'!$G$7="Em Aberto",'Lançamentos'!$G228=FALSE),'Lançamentos'!$F228,IF('Análise'!$G$7="Todos",'Lançamentos'!$F228,0)))</f>
        <v/>
      </c>
    </row>
    <row r="229" ht="15.75" customHeight="1">
      <c r="B229" s="52"/>
      <c r="C229" s="27" t="str">
        <f>IF('Lançamentos'!$B229&lt;&gt;"",YEAR('Lançamentos'!$B229)*100+MONTH(B229),"")</f>
        <v/>
      </c>
      <c r="D229" s="83"/>
      <c r="E229" s="40">
        <f t="array" ref="E229">IFERROR(_xlfn.XLOOKUP('Lançamentos'!$D229,Planilha1!$B$2:$B$35,Planilha1!$C$2:$C$35),0)</f>
        <v>0</v>
      </c>
      <c r="F229" s="84"/>
      <c r="G229" s="43" t="b">
        <v>0</v>
      </c>
      <c r="H229" s="45" t="str">
        <f>IF(AND('Análise'!$G$7="Pago",'Lançamentos'!$G229=TRUE),'Lançamentos'!$F229,IF(AND('Análise'!$G$7="Em Aberto",'Lançamentos'!$G229=FALSE),'Lançamentos'!$F229,IF('Análise'!$G$7="Todos",'Lançamentos'!$F229,0)))</f>
        <v/>
      </c>
    </row>
    <row r="230" ht="15.75" customHeight="1">
      <c r="B230" s="52"/>
      <c r="C230" s="27" t="str">
        <f>IF('Lançamentos'!$B230&lt;&gt;"",YEAR('Lançamentos'!$B230)*100+MONTH(B230),"")</f>
        <v/>
      </c>
      <c r="D230" s="83"/>
      <c r="E230" s="40">
        <f t="array" ref="E230">IFERROR(_xlfn.XLOOKUP('Lançamentos'!$D230,Planilha1!$B$2:$B$35,Planilha1!$C$2:$C$35),0)</f>
        <v>0</v>
      </c>
      <c r="F230" s="84"/>
      <c r="G230" s="43" t="b">
        <v>0</v>
      </c>
      <c r="H230" s="45" t="str">
        <f>IF(AND('Análise'!$G$7="Pago",'Lançamentos'!$G230=TRUE),'Lançamentos'!$F230,IF(AND('Análise'!$G$7="Em Aberto",'Lançamentos'!$G230=FALSE),'Lançamentos'!$F230,IF('Análise'!$G$7="Todos",'Lançamentos'!$F230,0)))</f>
        <v/>
      </c>
    </row>
    <row r="231" ht="15.75" customHeight="1">
      <c r="B231" s="52"/>
      <c r="C231" s="27" t="str">
        <f>IF('Lançamentos'!$B231&lt;&gt;"",YEAR('Lançamentos'!$B231)*100+MONTH(B231),"")</f>
        <v/>
      </c>
      <c r="D231" s="83"/>
      <c r="E231" s="40">
        <f t="array" ref="E231">IFERROR(_xlfn.XLOOKUP('Lançamentos'!$D231,Planilha1!$B$2:$B$35,Planilha1!$C$2:$C$35),0)</f>
        <v>0</v>
      </c>
      <c r="F231" s="84"/>
      <c r="G231" s="43" t="b">
        <v>0</v>
      </c>
      <c r="H231" s="45" t="str">
        <f>IF(AND('Análise'!$G$7="Pago",'Lançamentos'!$G231=TRUE),'Lançamentos'!$F231,IF(AND('Análise'!$G$7="Em Aberto",'Lançamentos'!$G231=FALSE),'Lançamentos'!$F231,IF('Análise'!$G$7="Todos",'Lançamentos'!$F231,0)))</f>
        <v/>
      </c>
    </row>
    <row r="232" ht="15.75" customHeight="1">
      <c r="B232" s="52"/>
      <c r="C232" s="27" t="str">
        <f>IF('Lançamentos'!$B232&lt;&gt;"",YEAR('Lançamentos'!$B232)*100+MONTH(B232),"")</f>
        <v/>
      </c>
      <c r="D232" s="83"/>
      <c r="E232" s="40">
        <f t="array" ref="E232">IFERROR(_xlfn.XLOOKUP('Lançamentos'!$D232,Planilha1!$B$2:$B$35,Planilha1!$C$2:$C$35),0)</f>
        <v>0</v>
      </c>
      <c r="F232" s="84"/>
      <c r="G232" s="43" t="b">
        <v>0</v>
      </c>
      <c r="H232" s="45" t="str">
        <f>IF(AND('Análise'!$G$7="Pago",'Lançamentos'!$G232=TRUE),'Lançamentos'!$F232,IF(AND('Análise'!$G$7="Em Aberto",'Lançamentos'!$G232=FALSE),'Lançamentos'!$F232,IF('Análise'!$G$7="Todos",'Lançamentos'!$F232,0)))</f>
        <v/>
      </c>
    </row>
    <row r="233" ht="15.75" customHeight="1">
      <c r="B233" s="52"/>
      <c r="C233" s="27" t="str">
        <f>IF('Lançamentos'!$B233&lt;&gt;"",YEAR('Lançamentos'!$B233)*100+MONTH(B233),"")</f>
        <v/>
      </c>
      <c r="D233" s="83"/>
      <c r="E233" s="40">
        <f t="array" ref="E233">IFERROR(_xlfn.XLOOKUP('Lançamentos'!$D233,Planilha1!$B$2:$B$35,Planilha1!$C$2:$C$35),0)</f>
        <v>0</v>
      </c>
      <c r="F233" s="84"/>
      <c r="G233" s="43" t="b">
        <v>0</v>
      </c>
      <c r="H233" s="45" t="str">
        <f>IF(AND('Análise'!$G$7="Pago",'Lançamentos'!$G233=TRUE),'Lançamentos'!$F233,IF(AND('Análise'!$G$7="Em Aberto",'Lançamentos'!$G233=FALSE),'Lançamentos'!$F233,IF('Análise'!$G$7="Todos",'Lançamentos'!$F233,0)))</f>
        <v/>
      </c>
    </row>
    <row r="234" ht="15.75" customHeight="1">
      <c r="B234" s="52"/>
      <c r="C234" s="27" t="str">
        <f>IF('Lançamentos'!$B234&lt;&gt;"",YEAR('Lançamentos'!$B234)*100+MONTH(B234),"")</f>
        <v/>
      </c>
      <c r="D234" s="83"/>
      <c r="E234" s="40">
        <f t="array" ref="E234">IFERROR(_xlfn.XLOOKUP('Lançamentos'!$D234,Planilha1!$B$2:$B$35,Planilha1!$C$2:$C$35),0)</f>
        <v>0</v>
      </c>
      <c r="F234" s="84"/>
      <c r="G234" s="43" t="b">
        <v>0</v>
      </c>
      <c r="H234" s="45" t="str">
        <f>IF(AND('Análise'!$G$7="Pago",'Lançamentos'!$G234=TRUE),'Lançamentos'!$F234,IF(AND('Análise'!$G$7="Em Aberto",'Lançamentos'!$G234=FALSE),'Lançamentos'!$F234,IF('Análise'!$G$7="Todos",'Lançamentos'!$F234,0)))</f>
        <v/>
      </c>
    </row>
    <row r="235" ht="15.75" customHeight="1">
      <c r="B235" s="52"/>
      <c r="C235" s="27" t="str">
        <f>IF('Lançamentos'!$B235&lt;&gt;"",YEAR('Lançamentos'!$B235)*100+MONTH(B235),"")</f>
        <v/>
      </c>
      <c r="D235" s="83"/>
      <c r="E235" s="40">
        <f t="array" ref="E235">IFERROR(_xlfn.XLOOKUP('Lançamentos'!$D235,Planilha1!$B$2:$B$35,Planilha1!$C$2:$C$35),0)</f>
        <v>0</v>
      </c>
      <c r="F235" s="84"/>
      <c r="G235" s="43" t="b">
        <v>0</v>
      </c>
      <c r="H235" s="45" t="str">
        <f>IF(AND('Análise'!$G$7="Pago",'Lançamentos'!$G235=TRUE),'Lançamentos'!$F235,IF(AND('Análise'!$G$7="Em Aberto",'Lançamentos'!$G235=FALSE),'Lançamentos'!$F235,IF('Análise'!$G$7="Todos",'Lançamentos'!$F235,0)))</f>
        <v/>
      </c>
    </row>
    <row r="236" ht="15.75" customHeight="1">
      <c r="B236" s="52"/>
      <c r="C236" s="27" t="str">
        <f>IF('Lançamentos'!$B236&lt;&gt;"",YEAR('Lançamentos'!$B236)*100+MONTH(B236),"")</f>
        <v/>
      </c>
      <c r="D236" s="83"/>
      <c r="E236" s="40">
        <f t="array" ref="E236">IFERROR(_xlfn.XLOOKUP('Lançamentos'!$D236,Planilha1!$B$2:$B$35,Planilha1!$C$2:$C$35),0)</f>
        <v>0</v>
      </c>
      <c r="F236" s="84"/>
      <c r="G236" s="43" t="b">
        <v>0</v>
      </c>
      <c r="H236" s="45" t="str">
        <f>IF(AND('Análise'!$G$7="Pago",'Lançamentos'!$G236=TRUE),'Lançamentos'!$F236,IF(AND('Análise'!$G$7="Em Aberto",'Lançamentos'!$G236=FALSE),'Lançamentos'!$F236,IF('Análise'!$G$7="Todos",'Lançamentos'!$F236,0)))</f>
        <v/>
      </c>
    </row>
    <row r="237" ht="15.75" customHeight="1">
      <c r="B237" s="52"/>
      <c r="C237" s="27" t="str">
        <f>IF('Lançamentos'!$B237&lt;&gt;"",YEAR('Lançamentos'!$B237)*100+MONTH(B237),"")</f>
        <v/>
      </c>
      <c r="D237" s="83"/>
      <c r="E237" s="40">
        <f t="array" ref="E237">IFERROR(_xlfn.XLOOKUP('Lançamentos'!$D237,Planilha1!$B$2:$B$35,Planilha1!$C$2:$C$35),0)</f>
        <v>0</v>
      </c>
      <c r="F237" s="84"/>
      <c r="G237" s="43" t="b">
        <v>0</v>
      </c>
      <c r="H237" s="45" t="str">
        <f>IF(AND('Análise'!$G$7="Pago",'Lançamentos'!$G237=TRUE),'Lançamentos'!$F237,IF(AND('Análise'!$G$7="Em Aberto",'Lançamentos'!$G237=FALSE),'Lançamentos'!$F237,IF('Análise'!$G$7="Todos",'Lançamentos'!$F237,0)))</f>
        <v/>
      </c>
    </row>
    <row r="238" ht="15.75" customHeight="1">
      <c r="B238" s="52"/>
      <c r="C238" s="27" t="str">
        <f>IF('Lançamentos'!$B238&lt;&gt;"",YEAR('Lançamentos'!$B238)*100+MONTH(B238),"")</f>
        <v/>
      </c>
      <c r="D238" s="83"/>
      <c r="E238" s="40">
        <f t="array" ref="E238">IFERROR(_xlfn.XLOOKUP('Lançamentos'!$D238,Planilha1!$B$2:$B$35,Planilha1!$C$2:$C$35),0)</f>
        <v>0</v>
      </c>
      <c r="F238" s="84"/>
      <c r="G238" s="43" t="b">
        <v>0</v>
      </c>
      <c r="H238" s="45" t="str">
        <f>IF(AND('Análise'!$G$7="Pago",'Lançamentos'!$G238=TRUE),'Lançamentos'!$F238,IF(AND('Análise'!$G$7="Em Aberto",'Lançamentos'!$G238=FALSE),'Lançamentos'!$F238,IF('Análise'!$G$7="Todos",'Lançamentos'!$F238,0)))</f>
        <v/>
      </c>
    </row>
    <row r="239" ht="15.75" customHeight="1">
      <c r="B239" s="52"/>
      <c r="C239" s="27" t="str">
        <f>IF('Lançamentos'!$B239&lt;&gt;"",YEAR('Lançamentos'!$B239)*100+MONTH(B239),"")</f>
        <v/>
      </c>
      <c r="D239" s="83"/>
      <c r="E239" s="40">
        <f t="array" ref="E239">IFERROR(_xlfn.XLOOKUP('Lançamentos'!$D239,Planilha1!$B$2:$B$35,Planilha1!$C$2:$C$35),0)</f>
        <v>0</v>
      </c>
      <c r="F239" s="84"/>
      <c r="G239" s="43" t="b">
        <v>0</v>
      </c>
      <c r="H239" s="45" t="str">
        <f>IF(AND('Análise'!$G$7="Pago",'Lançamentos'!$G239=TRUE),'Lançamentos'!$F239,IF(AND('Análise'!$G$7="Em Aberto",'Lançamentos'!$G239=FALSE),'Lançamentos'!$F239,IF('Análise'!$G$7="Todos",'Lançamentos'!$F239,0)))</f>
        <v/>
      </c>
    </row>
    <row r="240" ht="15.75" customHeight="1">
      <c r="B240" s="52"/>
      <c r="C240" s="27" t="str">
        <f>IF('Lançamentos'!$B240&lt;&gt;"",YEAR('Lançamentos'!$B240)*100+MONTH(B240),"")</f>
        <v/>
      </c>
      <c r="D240" s="83"/>
      <c r="E240" s="40">
        <f t="array" ref="E240">IFERROR(_xlfn.XLOOKUP('Lançamentos'!$D240,Planilha1!$B$2:$B$35,Planilha1!$C$2:$C$35),0)</f>
        <v>0</v>
      </c>
      <c r="F240" s="84"/>
      <c r="G240" s="43" t="b">
        <v>0</v>
      </c>
      <c r="H240" s="45" t="str">
        <f>IF(AND('Análise'!$G$7="Pago",'Lançamentos'!$G240=TRUE),'Lançamentos'!$F240,IF(AND('Análise'!$G$7="Em Aberto",'Lançamentos'!$G240=FALSE),'Lançamentos'!$F240,IF('Análise'!$G$7="Todos",'Lançamentos'!$F240,0)))</f>
        <v/>
      </c>
    </row>
    <row r="241" ht="15.75" customHeight="1">
      <c r="B241" s="52"/>
      <c r="C241" s="27" t="str">
        <f>IF('Lançamentos'!$B241&lt;&gt;"",YEAR('Lançamentos'!$B241)*100+MONTH(B241),"")</f>
        <v/>
      </c>
      <c r="D241" s="83"/>
      <c r="E241" s="40">
        <f t="array" ref="E241">IFERROR(_xlfn.XLOOKUP('Lançamentos'!$D241,Planilha1!$B$2:$B$35,Planilha1!$C$2:$C$35),0)</f>
        <v>0</v>
      </c>
      <c r="F241" s="84"/>
      <c r="G241" s="43" t="b">
        <v>0</v>
      </c>
      <c r="H241" s="45" t="str">
        <f>IF(AND('Análise'!$G$7="Pago",'Lançamentos'!$G241=TRUE),'Lançamentos'!$F241,IF(AND('Análise'!$G$7="Em Aberto",'Lançamentos'!$G241=FALSE),'Lançamentos'!$F241,IF('Análise'!$G$7="Todos",'Lançamentos'!$F241,0)))</f>
        <v/>
      </c>
    </row>
    <row r="242" ht="15.75" customHeight="1">
      <c r="B242" s="52"/>
      <c r="C242" s="27" t="str">
        <f>IF('Lançamentos'!$B242&lt;&gt;"",YEAR('Lançamentos'!$B242)*100+MONTH(B242),"")</f>
        <v/>
      </c>
      <c r="D242" s="83"/>
      <c r="E242" s="40">
        <f t="array" ref="E242">IFERROR(_xlfn.XLOOKUP('Lançamentos'!$D242,Planilha1!$B$2:$B$35,Planilha1!$C$2:$C$35),0)</f>
        <v>0</v>
      </c>
      <c r="F242" s="84"/>
      <c r="G242" s="43" t="b">
        <v>0</v>
      </c>
      <c r="H242" s="45" t="str">
        <f>IF(AND('Análise'!$G$7="Pago",'Lançamentos'!$G242=TRUE),'Lançamentos'!$F242,IF(AND('Análise'!$G$7="Em Aberto",'Lançamentos'!$G242=FALSE),'Lançamentos'!$F242,IF('Análise'!$G$7="Todos",'Lançamentos'!$F242,0)))</f>
        <v/>
      </c>
    </row>
    <row r="243" ht="15.75" customHeight="1">
      <c r="B243" s="52"/>
      <c r="C243" s="27" t="str">
        <f>IF('Lançamentos'!$B243&lt;&gt;"",YEAR('Lançamentos'!$B243)*100+MONTH(B243),"")</f>
        <v/>
      </c>
      <c r="D243" s="83"/>
      <c r="E243" s="40">
        <f t="array" ref="E243">IFERROR(_xlfn.XLOOKUP('Lançamentos'!$D243,Planilha1!$B$2:$B$35,Planilha1!$C$2:$C$35),0)</f>
        <v>0</v>
      </c>
      <c r="F243" s="84"/>
      <c r="G243" s="43" t="b">
        <v>0</v>
      </c>
      <c r="H243" s="45" t="str">
        <f>IF(AND('Análise'!$G$7="Pago",'Lançamentos'!$G243=TRUE),'Lançamentos'!$F243,IF(AND('Análise'!$G$7="Em Aberto",'Lançamentos'!$G243=FALSE),'Lançamentos'!$F243,IF('Análise'!$G$7="Todos",'Lançamentos'!$F243,0)))</f>
        <v/>
      </c>
    </row>
    <row r="244" ht="15.75" customHeight="1">
      <c r="B244" s="52"/>
      <c r="C244" s="27" t="str">
        <f>IF('Lançamentos'!$B244&lt;&gt;"",YEAR('Lançamentos'!$B244)*100+MONTH(B244),"")</f>
        <v/>
      </c>
      <c r="D244" s="83"/>
      <c r="E244" s="40">
        <f t="array" ref="E244">IFERROR(_xlfn.XLOOKUP('Lançamentos'!$D244,Planilha1!$B$2:$B$35,Planilha1!$C$2:$C$35),0)</f>
        <v>0</v>
      </c>
      <c r="F244" s="84"/>
      <c r="G244" s="43" t="b">
        <v>0</v>
      </c>
      <c r="H244" s="45" t="str">
        <f>IF(AND('Análise'!$G$7="Pago",'Lançamentos'!$G244=TRUE),'Lançamentos'!$F244,IF(AND('Análise'!$G$7="Em Aberto",'Lançamentos'!$G244=FALSE),'Lançamentos'!$F244,IF('Análise'!$G$7="Todos",'Lançamentos'!$F244,0)))</f>
        <v/>
      </c>
    </row>
    <row r="245" ht="15.75" customHeight="1">
      <c r="B245" s="52"/>
      <c r="C245" s="27" t="str">
        <f>IF('Lançamentos'!$B245&lt;&gt;"",YEAR('Lançamentos'!$B245)*100+MONTH(B245),"")</f>
        <v/>
      </c>
      <c r="D245" s="83"/>
      <c r="E245" s="40">
        <f t="array" ref="E245">IFERROR(_xlfn.XLOOKUP('Lançamentos'!$D245,Planilha1!$B$2:$B$35,Planilha1!$C$2:$C$35),0)</f>
        <v>0</v>
      </c>
      <c r="F245" s="84"/>
      <c r="G245" s="43" t="b">
        <v>0</v>
      </c>
      <c r="H245" s="45" t="str">
        <f>IF(AND('Análise'!$G$7="Pago",'Lançamentos'!$G245=TRUE),'Lançamentos'!$F245,IF(AND('Análise'!$G$7="Em Aberto",'Lançamentos'!$G245=FALSE),'Lançamentos'!$F245,IF('Análise'!$G$7="Todos",'Lançamentos'!$F245,0)))</f>
        <v/>
      </c>
    </row>
    <row r="246" ht="15.75" customHeight="1">
      <c r="B246" s="52"/>
      <c r="C246" s="27" t="str">
        <f>IF('Lançamentos'!$B246&lt;&gt;"",YEAR('Lançamentos'!$B246)*100+MONTH(B246),"")</f>
        <v/>
      </c>
      <c r="D246" s="83"/>
      <c r="E246" s="40">
        <f t="array" ref="E246">IFERROR(_xlfn.XLOOKUP('Lançamentos'!$D246,Planilha1!$B$2:$B$35,Planilha1!$C$2:$C$35),0)</f>
        <v>0</v>
      </c>
      <c r="F246" s="84"/>
      <c r="G246" s="43" t="b">
        <v>0</v>
      </c>
      <c r="H246" s="45" t="str">
        <f>IF(AND('Análise'!$G$7="Pago",'Lançamentos'!$G246=TRUE),'Lançamentos'!$F246,IF(AND('Análise'!$G$7="Em Aberto",'Lançamentos'!$G246=FALSE),'Lançamentos'!$F246,IF('Análise'!$G$7="Todos",'Lançamentos'!$F246,0)))</f>
        <v/>
      </c>
    </row>
    <row r="247" ht="15.75" customHeight="1">
      <c r="B247" s="52"/>
      <c r="C247" s="27" t="str">
        <f>IF('Lançamentos'!$B247&lt;&gt;"",YEAR('Lançamentos'!$B247)*100+MONTH(B247),"")</f>
        <v/>
      </c>
      <c r="D247" s="83"/>
      <c r="E247" s="40">
        <f t="array" ref="E247">IFERROR(_xlfn.XLOOKUP('Lançamentos'!$D247,Planilha1!$B$2:$B$35,Planilha1!$C$2:$C$35),0)</f>
        <v>0</v>
      </c>
      <c r="F247" s="84"/>
      <c r="G247" s="43" t="b">
        <v>0</v>
      </c>
      <c r="H247" s="45" t="str">
        <f>IF(AND('Análise'!$G$7="Pago",'Lançamentos'!$G247=TRUE),'Lançamentos'!$F247,IF(AND('Análise'!$G$7="Em Aberto",'Lançamentos'!$G247=FALSE),'Lançamentos'!$F247,IF('Análise'!$G$7="Todos",'Lançamentos'!$F247,0)))</f>
        <v/>
      </c>
    </row>
    <row r="248" ht="15.75" customHeight="1">
      <c r="B248" s="52"/>
      <c r="C248" s="27" t="str">
        <f>IF('Lançamentos'!$B248&lt;&gt;"",YEAR('Lançamentos'!$B248)*100+MONTH(B248),"")</f>
        <v/>
      </c>
      <c r="D248" s="83"/>
      <c r="E248" s="40">
        <f t="array" ref="E248">IFERROR(_xlfn.XLOOKUP('Lançamentos'!$D248,Planilha1!$B$2:$B$35,Planilha1!$C$2:$C$35),0)</f>
        <v>0</v>
      </c>
      <c r="F248" s="84"/>
      <c r="G248" s="43" t="b">
        <v>0</v>
      </c>
      <c r="H248" s="45" t="str">
        <f>IF(AND('Análise'!$G$7="Pago",'Lançamentos'!$G248=TRUE),'Lançamentos'!$F248,IF(AND('Análise'!$G$7="Em Aberto",'Lançamentos'!$G248=FALSE),'Lançamentos'!$F248,IF('Análise'!$G$7="Todos",'Lançamentos'!$F248,0)))</f>
        <v/>
      </c>
    </row>
    <row r="249" ht="15.75" customHeight="1">
      <c r="B249" s="52"/>
      <c r="C249" s="27" t="str">
        <f>IF('Lançamentos'!$B249&lt;&gt;"",YEAR('Lançamentos'!$B249)*100+MONTH(B249),"")</f>
        <v/>
      </c>
      <c r="D249" s="83"/>
      <c r="E249" s="40">
        <f t="array" ref="E249">IFERROR(_xlfn.XLOOKUP('Lançamentos'!$D249,Planilha1!$B$2:$B$35,Planilha1!$C$2:$C$35),0)</f>
        <v>0</v>
      </c>
      <c r="F249" s="84"/>
      <c r="G249" s="43" t="b">
        <v>0</v>
      </c>
      <c r="H249" s="45" t="str">
        <f>IF(AND('Análise'!$G$7="Pago",'Lançamentos'!$G249=TRUE),'Lançamentos'!$F249,IF(AND('Análise'!$G$7="Em Aberto",'Lançamentos'!$G249=FALSE),'Lançamentos'!$F249,IF('Análise'!$G$7="Todos",'Lançamentos'!$F249,0)))</f>
        <v/>
      </c>
    </row>
    <row r="250" ht="15.75" customHeight="1">
      <c r="B250" s="52"/>
      <c r="C250" s="27" t="str">
        <f>IF('Lançamentos'!$B250&lt;&gt;"",YEAR('Lançamentos'!$B250)*100+MONTH(B250),"")</f>
        <v/>
      </c>
      <c r="D250" s="83"/>
      <c r="E250" s="40">
        <f t="array" ref="E250">IFERROR(_xlfn.XLOOKUP('Lançamentos'!$D250,Planilha1!$B$2:$B$35,Planilha1!$C$2:$C$35),0)</f>
        <v>0</v>
      </c>
      <c r="F250" s="84"/>
      <c r="G250" s="43" t="b">
        <v>0</v>
      </c>
      <c r="H250" s="45" t="str">
        <f>IF(AND('Análise'!$G$7="Pago",'Lançamentos'!$G250=TRUE),'Lançamentos'!$F250,IF(AND('Análise'!$G$7="Em Aberto",'Lançamentos'!$G250=FALSE),'Lançamentos'!$F250,IF('Análise'!$G$7="Todos",'Lançamentos'!$F250,0)))</f>
        <v/>
      </c>
    </row>
    <row r="251" ht="15.75" customHeight="1">
      <c r="B251" s="52"/>
      <c r="C251" s="27" t="str">
        <f>IF('Lançamentos'!$B251&lt;&gt;"",YEAR('Lançamentos'!$B251)*100+MONTH(B251),"")</f>
        <v/>
      </c>
      <c r="D251" s="83"/>
      <c r="E251" s="40">
        <f t="array" ref="E251">IFERROR(_xlfn.XLOOKUP('Lançamentos'!$D251,Planilha1!$B$2:$B$35,Planilha1!$C$2:$C$35),0)</f>
        <v>0</v>
      </c>
      <c r="F251" s="84"/>
      <c r="G251" s="43" t="b">
        <v>0</v>
      </c>
      <c r="H251" s="45" t="str">
        <f>IF(AND('Análise'!$G$7="Pago",'Lançamentos'!$G251=TRUE),'Lançamentos'!$F251,IF(AND('Análise'!$G$7="Em Aberto",'Lançamentos'!$G251=FALSE),'Lançamentos'!$F251,IF('Análise'!$G$7="Todos",'Lançamentos'!$F251,0)))</f>
        <v/>
      </c>
    </row>
    <row r="252" ht="15.75" customHeight="1">
      <c r="B252" s="52"/>
      <c r="C252" s="27" t="str">
        <f>IF('Lançamentos'!$B252&lt;&gt;"",YEAR('Lançamentos'!$B252)*100+MONTH(B252),"")</f>
        <v/>
      </c>
      <c r="D252" s="83"/>
      <c r="E252" s="40">
        <f t="array" ref="E252">IFERROR(_xlfn.XLOOKUP('Lançamentos'!$D252,Planilha1!$B$2:$B$35,Planilha1!$C$2:$C$35),0)</f>
        <v>0</v>
      </c>
      <c r="F252" s="84"/>
      <c r="G252" s="43" t="b">
        <v>0</v>
      </c>
      <c r="H252" s="45" t="str">
        <f>IF(AND('Análise'!$G$7="Pago",'Lançamentos'!$G252=TRUE),'Lançamentos'!$F252,IF(AND('Análise'!$G$7="Em Aberto",'Lançamentos'!$G252=FALSE),'Lançamentos'!$F252,IF('Análise'!$G$7="Todos",'Lançamentos'!$F252,0)))</f>
        <v/>
      </c>
    </row>
    <row r="253" ht="15.75" customHeight="1">
      <c r="B253" s="52"/>
      <c r="C253" s="27" t="str">
        <f>IF('Lançamentos'!$B253&lt;&gt;"",YEAR('Lançamentos'!$B253)*100+MONTH(B253),"")</f>
        <v/>
      </c>
      <c r="D253" s="83"/>
      <c r="E253" s="40">
        <f t="array" ref="E253">IFERROR(_xlfn.XLOOKUP('Lançamentos'!$D253,Planilha1!$B$2:$B$35,Planilha1!$C$2:$C$35),0)</f>
        <v>0</v>
      </c>
      <c r="F253" s="84"/>
      <c r="G253" s="43" t="b">
        <v>0</v>
      </c>
      <c r="H253" s="45" t="str">
        <f>IF(AND('Análise'!$G$7="Pago",'Lançamentos'!$G253=TRUE),'Lançamentos'!$F253,IF(AND('Análise'!$G$7="Em Aberto",'Lançamentos'!$G253=FALSE),'Lançamentos'!$F253,IF('Análise'!$G$7="Todos",'Lançamentos'!$F253,0)))</f>
        <v/>
      </c>
    </row>
    <row r="254" ht="15.75" customHeight="1">
      <c r="B254" s="52"/>
      <c r="C254" s="27" t="str">
        <f>IF('Lançamentos'!$B254&lt;&gt;"",YEAR('Lançamentos'!$B254)*100+MONTH(B254),"")</f>
        <v/>
      </c>
      <c r="D254" s="83"/>
      <c r="E254" s="40">
        <f t="array" ref="E254">IFERROR(_xlfn.XLOOKUP('Lançamentos'!$D254,Planilha1!$B$2:$B$35,Planilha1!$C$2:$C$35),0)</f>
        <v>0</v>
      </c>
      <c r="F254" s="84"/>
      <c r="G254" s="43" t="b">
        <v>0</v>
      </c>
      <c r="H254" s="45" t="str">
        <f>IF(AND('Análise'!$G$7="Pago",'Lançamentos'!$G254=TRUE),'Lançamentos'!$F254,IF(AND('Análise'!$G$7="Em Aberto",'Lançamentos'!$G254=FALSE),'Lançamentos'!$F254,IF('Análise'!$G$7="Todos",'Lançamentos'!$F254,0)))</f>
        <v/>
      </c>
    </row>
    <row r="255" ht="15.75" customHeight="1">
      <c r="B255" s="52"/>
      <c r="C255" s="27" t="str">
        <f>IF('Lançamentos'!$B255&lt;&gt;"",YEAR('Lançamentos'!$B255)*100+MONTH(B255),"")</f>
        <v/>
      </c>
      <c r="D255" s="83"/>
      <c r="E255" s="40">
        <f t="array" ref="E255">IFERROR(_xlfn.XLOOKUP('Lançamentos'!$D255,Planilha1!$B$2:$B$35,Planilha1!$C$2:$C$35),0)</f>
        <v>0</v>
      </c>
      <c r="F255" s="84"/>
      <c r="G255" s="43" t="b">
        <v>0</v>
      </c>
      <c r="H255" s="45" t="str">
        <f>IF(AND('Análise'!$G$7="Pago",'Lançamentos'!$G255=TRUE),'Lançamentos'!$F255,IF(AND('Análise'!$G$7="Em Aberto",'Lançamentos'!$G255=FALSE),'Lançamentos'!$F255,IF('Análise'!$G$7="Todos",'Lançamentos'!$F255,0)))</f>
        <v/>
      </c>
    </row>
    <row r="256" ht="15.75" customHeight="1">
      <c r="B256" s="52"/>
      <c r="C256" s="27" t="str">
        <f>IF('Lançamentos'!$B256&lt;&gt;"",YEAR('Lançamentos'!$B256)*100+MONTH(B256),"")</f>
        <v/>
      </c>
      <c r="D256" s="83"/>
      <c r="E256" s="40">
        <f t="array" ref="E256">IFERROR(_xlfn.XLOOKUP('Lançamentos'!$D256,Planilha1!$B$2:$B$35,Planilha1!$C$2:$C$35),0)</f>
        <v>0</v>
      </c>
      <c r="F256" s="84"/>
      <c r="G256" s="43" t="b">
        <v>0</v>
      </c>
      <c r="H256" s="45" t="str">
        <f>IF(AND('Análise'!$G$7="Pago",'Lançamentos'!$G256=TRUE),'Lançamentos'!$F256,IF(AND('Análise'!$G$7="Em Aberto",'Lançamentos'!$G256=FALSE),'Lançamentos'!$F256,IF('Análise'!$G$7="Todos",'Lançamentos'!$F256,0)))</f>
        <v/>
      </c>
    </row>
    <row r="257" ht="15.75" customHeight="1">
      <c r="B257" s="52"/>
      <c r="C257" s="27" t="str">
        <f>IF('Lançamentos'!$B257&lt;&gt;"",YEAR('Lançamentos'!$B257)*100+MONTH(B257),"")</f>
        <v/>
      </c>
      <c r="D257" s="83"/>
      <c r="E257" s="40">
        <f t="array" ref="E257">IFERROR(_xlfn.XLOOKUP('Lançamentos'!$D257,Planilha1!$B$2:$B$35,Planilha1!$C$2:$C$35),0)</f>
        <v>0</v>
      </c>
      <c r="F257" s="84"/>
      <c r="G257" s="43" t="b">
        <v>0</v>
      </c>
      <c r="H257" s="45" t="str">
        <f>IF(AND('Análise'!$G$7="Pago",'Lançamentos'!$G257=TRUE),'Lançamentos'!$F257,IF(AND('Análise'!$G$7="Em Aberto",'Lançamentos'!$G257=FALSE),'Lançamentos'!$F257,IF('Análise'!$G$7="Todos",'Lançamentos'!$F257,0)))</f>
        <v/>
      </c>
    </row>
    <row r="258" ht="15.75" customHeight="1">
      <c r="B258" s="52"/>
      <c r="C258" s="27" t="str">
        <f>IF('Lançamentos'!$B258&lt;&gt;"",YEAR('Lançamentos'!$B258)*100+MONTH(B258),"")</f>
        <v/>
      </c>
      <c r="D258" s="83"/>
      <c r="E258" s="40">
        <f t="array" ref="E258">IFERROR(_xlfn.XLOOKUP('Lançamentos'!$D258,Planilha1!$B$2:$B$35,Planilha1!$C$2:$C$35),0)</f>
        <v>0</v>
      </c>
      <c r="F258" s="84"/>
      <c r="G258" s="43" t="b">
        <v>0</v>
      </c>
      <c r="H258" s="45" t="str">
        <f>IF(AND('Análise'!$G$7="Pago",'Lançamentos'!$G258=TRUE),'Lançamentos'!$F258,IF(AND('Análise'!$G$7="Em Aberto",'Lançamentos'!$G258=FALSE),'Lançamentos'!$F258,IF('Análise'!$G$7="Todos",'Lançamentos'!$F258,0)))</f>
        <v/>
      </c>
    </row>
    <row r="259" ht="15.75" customHeight="1">
      <c r="B259" s="52"/>
      <c r="C259" s="27" t="str">
        <f>IF('Lançamentos'!$B259&lt;&gt;"",YEAR('Lançamentos'!$B259)*100+MONTH(B259),"")</f>
        <v/>
      </c>
      <c r="D259" s="83"/>
      <c r="E259" s="40">
        <f t="array" ref="E259">IFERROR(_xlfn.XLOOKUP('Lançamentos'!$D259,Planilha1!$B$2:$B$35,Planilha1!$C$2:$C$35),0)</f>
        <v>0</v>
      </c>
      <c r="F259" s="84"/>
      <c r="G259" s="43" t="b">
        <v>0</v>
      </c>
      <c r="H259" s="45" t="str">
        <f>IF(AND('Análise'!$G$7="Pago",'Lançamentos'!$G259=TRUE),'Lançamentos'!$F259,IF(AND('Análise'!$G$7="Em Aberto",'Lançamentos'!$G259=FALSE),'Lançamentos'!$F259,IF('Análise'!$G$7="Todos",'Lançamentos'!$F259,0)))</f>
        <v/>
      </c>
    </row>
    <row r="260" ht="15.75" customHeight="1">
      <c r="B260" s="52"/>
      <c r="C260" s="27" t="str">
        <f>IF('Lançamentos'!$B260&lt;&gt;"",YEAR('Lançamentos'!$B260)*100+MONTH(B260),"")</f>
        <v/>
      </c>
      <c r="D260" s="83"/>
      <c r="E260" s="40">
        <f t="array" ref="E260">IFERROR(_xlfn.XLOOKUP('Lançamentos'!$D260,Planilha1!$B$2:$B$35,Planilha1!$C$2:$C$35),0)</f>
        <v>0</v>
      </c>
      <c r="F260" s="84"/>
      <c r="G260" s="43" t="b">
        <v>0</v>
      </c>
      <c r="H260" s="45" t="str">
        <f>IF(AND('Análise'!$G$7="Pago",'Lançamentos'!$G260=TRUE),'Lançamentos'!$F260,IF(AND('Análise'!$G$7="Em Aberto",'Lançamentos'!$G260=FALSE),'Lançamentos'!$F260,IF('Análise'!$G$7="Todos",'Lançamentos'!$F260,0)))</f>
        <v/>
      </c>
    </row>
    <row r="261" ht="15.75" customHeight="1">
      <c r="B261" s="52"/>
      <c r="C261" s="27" t="str">
        <f>IF('Lançamentos'!$B261&lt;&gt;"",YEAR('Lançamentos'!$B261)*100+MONTH(B261),"")</f>
        <v/>
      </c>
      <c r="D261" s="83"/>
      <c r="E261" s="40">
        <f t="array" ref="E261">IFERROR(_xlfn.XLOOKUP('Lançamentos'!$D261,Planilha1!$B$2:$B$35,Planilha1!$C$2:$C$35),0)</f>
        <v>0</v>
      </c>
      <c r="F261" s="84"/>
      <c r="G261" s="43" t="b">
        <v>0</v>
      </c>
      <c r="H261" s="45" t="str">
        <f>IF(AND('Análise'!$G$7="Pago",'Lançamentos'!$G261=TRUE),'Lançamentos'!$F261,IF(AND('Análise'!$G$7="Em Aberto",'Lançamentos'!$G261=FALSE),'Lançamentos'!$F261,IF('Análise'!$G$7="Todos",'Lançamentos'!$F261,0)))</f>
        <v/>
      </c>
    </row>
    <row r="262" ht="15.75" customHeight="1">
      <c r="B262" s="52"/>
      <c r="C262" s="27" t="str">
        <f>IF('Lançamentos'!$B262&lt;&gt;"",YEAR('Lançamentos'!$B262)*100+MONTH(B262),"")</f>
        <v/>
      </c>
      <c r="D262" s="83"/>
      <c r="E262" s="40">
        <f t="array" ref="E262">IFERROR(_xlfn.XLOOKUP('Lançamentos'!$D262,Planilha1!$B$2:$B$35,Planilha1!$C$2:$C$35),0)</f>
        <v>0</v>
      </c>
      <c r="F262" s="84"/>
      <c r="G262" s="43" t="b">
        <v>0</v>
      </c>
      <c r="H262" s="45" t="str">
        <f>IF(AND('Análise'!$G$7="Pago",'Lançamentos'!$G262=TRUE),'Lançamentos'!$F262,IF(AND('Análise'!$G$7="Em Aberto",'Lançamentos'!$G262=FALSE),'Lançamentos'!$F262,IF('Análise'!$G$7="Todos",'Lançamentos'!$F262,0)))</f>
        <v/>
      </c>
    </row>
    <row r="263" ht="15.75" customHeight="1">
      <c r="B263" s="52"/>
      <c r="C263" s="27" t="str">
        <f>IF('Lançamentos'!$B263&lt;&gt;"",YEAR('Lançamentos'!$B263)*100+MONTH(B263),"")</f>
        <v/>
      </c>
      <c r="D263" s="83"/>
      <c r="E263" s="40">
        <f t="array" ref="E263">IFERROR(_xlfn.XLOOKUP('Lançamentos'!$D263,Planilha1!$B$2:$B$35,Planilha1!$C$2:$C$35),0)</f>
        <v>0</v>
      </c>
      <c r="F263" s="84"/>
      <c r="G263" s="43" t="b">
        <v>0</v>
      </c>
      <c r="H263" s="45" t="str">
        <f>IF(AND('Análise'!$G$7="Pago",'Lançamentos'!$G263=TRUE),'Lançamentos'!$F263,IF(AND('Análise'!$G$7="Em Aberto",'Lançamentos'!$G263=FALSE),'Lançamentos'!$F263,IF('Análise'!$G$7="Todos",'Lançamentos'!$F263,0)))</f>
        <v/>
      </c>
    </row>
    <row r="264" ht="15.75" customHeight="1">
      <c r="B264" s="52"/>
      <c r="C264" s="27" t="str">
        <f>IF('Lançamentos'!$B264&lt;&gt;"",YEAR('Lançamentos'!$B264)*100+MONTH(B264),"")</f>
        <v/>
      </c>
      <c r="D264" s="83"/>
      <c r="E264" s="40">
        <f t="array" ref="E264">IFERROR(_xlfn.XLOOKUP('Lançamentos'!$D264,Planilha1!$B$2:$B$35,Planilha1!$C$2:$C$35),0)</f>
        <v>0</v>
      </c>
      <c r="F264" s="84"/>
      <c r="G264" s="43" t="b">
        <v>0</v>
      </c>
      <c r="H264" s="45" t="str">
        <f>IF(AND('Análise'!$G$7="Pago",'Lançamentos'!$G264=TRUE),'Lançamentos'!$F264,IF(AND('Análise'!$G$7="Em Aberto",'Lançamentos'!$G264=FALSE),'Lançamentos'!$F264,IF('Análise'!$G$7="Todos",'Lançamentos'!$F264,0)))</f>
        <v/>
      </c>
    </row>
    <row r="265" ht="15.75" customHeight="1">
      <c r="B265" s="52"/>
      <c r="C265" s="27" t="str">
        <f>IF('Lançamentos'!$B265&lt;&gt;"",YEAR('Lançamentos'!$B265)*100+MONTH(B265),"")</f>
        <v/>
      </c>
      <c r="D265" s="83"/>
      <c r="E265" s="40">
        <f t="array" ref="E265">IFERROR(_xlfn.XLOOKUP('Lançamentos'!$D265,Planilha1!$B$2:$B$35,Planilha1!$C$2:$C$35),0)</f>
        <v>0</v>
      </c>
      <c r="F265" s="84"/>
      <c r="G265" s="43" t="b">
        <v>0</v>
      </c>
      <c r="H265" s="45" t="str">
        <f>IF(AND('Análise'!$G$7="Pago",'Lançamentos'!$G265=TRUE),'Lançamentos'!$F265,IF(AND('Análise'!$G$7="Em Aberto",'Lançamentos'!$G265=FALSE),'Lançamentos'!$F265,IF('Análise'!$G$7="Todos",'Lançamentos'!$F265,0)))</f>
        <v/>
      </c>
    </row>
    <row r="266" ht="15.75" customHeight="1">
      <c r="B266" s="52"/>
      <c r="C266" s="27" t="str">
        <f>IF('Lançamentos'!$B266&lt;&gt;"",YEAR('Lançamentos'!$B266)*100+MONTH(B266),"")</f>
        <v/>
      </c>
      <c r="D266" s="83"/>
      <c r="E266" s="40">
        <f t="array" ref="E266">IFERROR(_xlfn.XLOOKUP('Lançamentos'!$D266,Planilha1!$B$2:$B$35,Planilha1!$C$2:$C$35),0)</f>
        <v>0</v>
      </c>
      <c r="F266" s="84"/>
      <c r="G266" s="43" t="b">
        <v>0</v>
      </c>
      <c r="H266" s="45" t="str">
        <f>IF(AND('Análise'!$G$7="Pago",'Lançamentos'!$G266=TRUE),'Lançamentos'!$F266,IF(AND('Análise'!$G$7="Em Aberto",'Lançamentos'!$G266=FALSE),'Lançamentos'!$F266,IF('Análise'!$G$7="Todos",'Lançamentos'!$F266,0)))</f>
        <v/>
      </c>
    </row>
    <row r="267" ht="15.75" customHeight="1">
      <c r="B267" s="52"/>
      <c r="C267" s="27" t="str">
        <f>IF('Lançamentos'!$B267&lt;&gt;"",YEAR('Lançamentos'!$B267)*100+MONTH(B267),"")</f>
        <v/>
      </c>
      <c r="D267" s="83"/>
      <c r="E267" s="40">
        <f t="array" ref="E267">IFERROR(_xlfn.XLOOKUP('Lançamentos'!$D267,Planilha1!$B$2:$B$35,Planilha1!$C$2:$C$35),0)</f>
        <v>0</v>
      </c>
      <c r="F267" s="84"/>
      <c r="G267" s="43" t="b">
        <v>0</v>
      </c>
      <c r="H267" s="45" t="str">
        <f>IF(AND('Análise'!$G$7="Pago",'Lançamentos'!$G267=TRUE),'Lançamentos'!$F267,IF(AND('Análise'!$G$7="Em Aberto",'Lançamentos'!$G267=FALSE),'Lançamentos'!$F267,IF('Análise'!$G$7="Todos",'Lançamentos'!$F267,0)))</f>
        <v/>
      </c>
    </row>
    <row r="268" ht="15.75" customHeight="1">
      <c r="B268" s="52"/>
      <c r="C268" s="27" t="str">
        <f>IF('Lançamentos'!$B268&lt;&gt;"",YEAR('Lançamentos'!$B268)*100+MONTH(B268),"")</f>
        <v/>
      </c>
      <c r="D268" s="83"/>
      <c r="E268" s="40">
        <f t="array" ref="E268">IFERROR(_xlfn.XLOOKUP('Lançamentos'!$D268,Planilha1!$B$2:$B$35,Planilha1!$C$2:$C$35),0)</f>
        <v>0</v>
      </c>
      <c r="F268" s="84"/>
      <c r="G268" s="43" t="b">
        <v>0</v>
      </c>
      <c r="H268" s="45" t="str">
        <f>IF(AND('Análise'!$G$7="Pago",'Lançamentos'!$G268=TRUE),'Lançamentos'!$F268,IF(AND('Análise'!$G$7="Em Aberto",'Lançamentos'!$G268=FALSE),'Lançamentos'!$F268,IF('Análise'!$G$7="Todos",'Lançamentos'!$F268,0)))</f>
        <v/>
      </c>
    </row>
    <row r="269" ht="15.75" customHeight="1">
      <c r="B269" s="52"/>
      <c r="C269" s="27" t="str">
        <f>IF('Lançamentos'!$B269&lt;&gt;"",YEAR('Lançamentos'!$B269)*100+MONTH(B269),"")</f>
        <v/>
      </c>
      <c r="D269" s="83"/>
      <c r="E269" s="40">
        <f t="array" ref="E269">IFERROR(_xlfn.XLOOKUP('Lançamentos'!$D269,Planilha1!$B$2:$B$35,Planilha1!$C$2:$C$35),0)</f>
        <v>0</v>
      </c>
      <c r="F269" s="84"/>
      <c r="G269" s="43" t="b">
        <v>0</v>
      </c>
      <c r="H269" s="45" t="str">
        <f>IF(AND('Análise'!$G$7="Pago",'Lançamentos'!$G269=TRUE),'Lançamentos'!$F269,IF(AND('Análise'!$G$7="Em Aberto",'Lançamentos'!$G269=FALSE),'Lançamentos'!$F269,IF('Análise'!$G$7="Todos",'Lançamentos'!$F269,0)))</f>
        <v/>
      </c>
    </row>
    <row r="270" ht="15.75" customHeight="1">
      <c r="B270" s="52"/>
      <c r="C270" s="27" t="str">
        <f>IF('Lançamentos'!$B270&lt;&gt;"",YEAR('Lançamentos'!$B270)*100+MONTH(B270),"")</f>
        <v/>
      </c>
      <c r="D270" s="83"/>
      <c r="E270" s="40">
        <f t="array" ref="E270">IFERROR(_xlfn.XLOOKUP('Lançamentos'!$D270,Planilha1!$B$2:$B$35,Planilha1!$C$2:$C$35),0)</f>
        <v>0</v>
      </c>
      <c r="F270" s="84"/>
      <c r="G270" s="43" t="b">
        <v>0</v>
      </c>
      <c r="H270" s="45" t="str">
        <f>IF(AND('Análise'!$G$7="Pago",'Lançamentos'!$G270=TRUE),'Lançamentos'!$F270,IF(AND('Análise'!$G$7="Em Aberto",'Lançamentos'!$G270=FALSE),'Lançamentos'!$F270,IF('Análise'!$G$7="Todos",'Lançamentos'!$F270,0)))</f>
        <v/>
      </c>
    </row>
    <row r="271" ht="15.75" customHeight="1">
      <c r="B271" s="52"/>
      <c r="C271" s="27" t="str">
        <f>IF('Lançamentos'!$B271&lt;&gt;"",YEAR('Lançamentos'!$B271)*100+MONTH(B271),"")</f>
        <v/>
      </c>
      <c r="D271" s="83"/>
      <c r="E271" s="40">
        <f t="array" ref="E271">IFERROR(_xlfn.XLOOKUP('Lançamentos'!$D271,Planilha1!$B$2:$B$35,Planilha1!$C$2:$C$35),0)</f>
        <v>0</v>
      </c>
      <c r="F271" s="84"/>
      <c r="G271" s="43" t="b">
        <v>0</v>
      </c>
      <c r="H271" s="45" t="str">
        <f>IF(AND('Análise'!$G$7="Pago",'Lançamentos'!$G271=TRUE),'Lançamentos'!$F271,IF(AND('Análise'!$G$7="Em Aberto",'Lançamentos'!$G271=FALSE),'Lançamentos'!$F271,IF('Análise'!$G$7="Todos",'Lançamentos'!$F271,0)))</f>
        <v/>
      </c>
    </row>
    <row r="272" ht="15.75" customHeight="1">
      <c r="B272" s="52"/>
      <c r="C272" s="27" t="str">
        <f>IF('Lançamentos'!$B272&lt;&gt;"",YEAR('Lançamentos'!$B272)*100+MONTH(B272),"")</f>
        <v/>
      </c>
      <c r="D272" s="83"/>
      <c r="E272" s="40">
        <f t="array" ref="E272">IFERROR(_xlfn.XLOOKUP('Lançamentos'!$D272,Planilha1!$B$2:$B$35,Planilha1!$C$2:$C$35),0)</f>
        <v>0</v>
      </c>
      <c r="F272" s="84"/>
      <c r="G272" s="43" t="b">
        <v>0</v>
      </c>
      <c r="H272" s="45" t="str">
        <f>IF(AND('Análise'!$G$7="Pago",'Lançamentos'!$G272=TRUE),'Lançamentos'!$F272,IF(AND('Análise'!$G$7="Em Aberto",'Lançamentos'!$G272=FALSE),'Lançamentos'!$F272,IF('Análise'!$G$7="Todos",'Lançamentos'!$F272,0)))</f>
        <v/>
      </c>
    </row>
    <row r="273" ht="15.75" customHeight="1">
      <c r="B273" s="52"/>
      <c r="C273" s="27" t="str">
        <f>IF('Lançamentos'!$B273&lt;&gt;"",YEAR('Lançamentos'!$B273)*100+MONTH(B273),"")</f>
        <v/>
      </c>
      <c r="D273" s="83"/>
      <c r="E273" s="40">
        <f t="array" ref="E273">IFERROR(_xlfn.XLOOKUP('Lançamentos'!$D273,Planilha1!$B$2:$B$35,Planilha1!$C$2:$C$35),0)</f>
        <v>0</v>
      </c>
      <c r="F273" s="84"/>
      <c r="G273" s="43" t="b">
        <v>0</v>
      </c>
      <c r="H273" s="45" t="str">
        <f>IF(AND('Análise'!$G$7="Pago",'Lançamentos'!$G273=TRUE),'Lançamentos'!$F273,IF(AND('Análise'!$G$7="Em Aberto",'Lançamentos'!$G273=FALSE),'Lançamentos'!$F273,IF('Análise'!$G$7="Todos",'Lançamentos'!$F273,0)))</f>
        <v/>
      </c>
    </row>
    <row r="274" ht="15.75" customHeight="1">
      <c r="B274" s="52"/>
      <c r="C274" s="27" t="str">
        <f>IF('Lançamentos'!$B274&lt;&gt;"",YEAR('Lançamentos'!$B274)*100+MONTH(B274),"")</f>
        <v/>
      </c>
      <c r="D274" s="83"/>
      <c r="E274" s="40">
        <f t="array" ref="E274">IFERROR(_xlfn.XLOOKUP('Lançamentos'!$D274,Planilha1!$B$2:$B$35,Planilha1!$C$2:$C$35),0)</f>
        <v>0</v>
      </c>
      <c r="F274" s="84"/>
      <c r="G274" s="43" t="b">
        <v>0</v>
      </c>
      <c r="H274" s="45" t="str">
        <f>IF(AND('Análise'!$G$7="Pago",'Lançamentos'!$G274=TRUE),'Lançamentos'!$F274,IF(AND('Análise'!$G$7="Em Aberto",'Lançamentos'!$G274=FALSE),'Lançamentos'!$F274,IF('Análise'!$G$7="Todos",'Lançamentos'!$F274,0)))</f>
        <v/>
      </c>
    </row>
    <row r="275" ht="15.75" customHeight="1">
      <c r="B275" s="52"/>
      <c r="C275" s="27" t="str">
        <f>IF('Lançamentos'!$B275&lt;&gt;"",YEAR('Lançamentos'!$B275)*100+MONTH(B275),"")</f>
        <v/>
      </c>
      <c r="D275" s="83"/>
      <c r="E275" s="40">
        <f t="array" ref="E275">IFERROR(_xlfn.XLOOKUP('Lançamentos'!$D275,Planilha1!$B$2:$B$35,Planilha1!$C$2:$C$35),0)</f>
        <v>0</v>
      </c>
      <c r="F275" s="84"/>
      <c r="G275" s="43" t="b">
        <v>0</v>
      </c>
      <c r="H275" s="45" t="str">
        <f>IF(AND('Análise'!$G$7="Pago",'Lançamentos'!$G275=TRUE),'Lançamentos'!$F275,IF(AND('Análise'!$G$7="Em Aberto",'Lançamentos'!$G275=FALSE),'Lançamentos'!$F275,IF('Análise'!$G$7="Todos",'Lançamentos'!$F275,0)))</f>
        <v/>
      </c>
    </row>
    <row r="276" ht="15.75" customHeight="1">
      <c r="B276" s="52"/>
      <c r="C276" s="27" t="str">
        <f>IF('Lançamentos'!$B276&lt;&gt;"",YEAR('Lançamentos'!$B276)*100+MONTH(B276),"")</f>
        <v/>
      </c>
      <c r="D276" s="83"/>
      <c r="E276" s="40">
        <f t="array" ref="E276">IFERROR(_xlfn.XLOOKUP('Lançamentos'!$D276,Planilha1!$B$2:$B$35,Planilha1!$C$2:$C$35),0)</f>
        <v>0</v>
      </c>
      <c r="F276" s="84"/>
      <c r="G276" s="43" t="b">
        <v>0</v>
      </c>
      <c r="H276" s="45" t="str">
        <f>IF(AND('Análise'!$G$7="Pago",'Lançamentos'!$G276=TRUE),'Lançamentos'!$F276,IF(AND('Análise'!$G$7="Em Aberto",'Lançamentos'!$G276=FALSE),'Lançamentos'!$F276,IF('Análise'!$G$7="Todos",'Lançamentos'!$F276,0)))</f>
        <v/>
      </c>
    </row>
    <row r="277" ht="15.75" customHeight="1">
      <c r="B277" s="52"/>
      <c r="C277" s="27" t="str">
        <f>IF('Lançamentos'!$B277&lt;&gt;"",YEAR('Lançamentos'!$B277)*100+MONTH(B277),"")</f>
        <v/>
      </c>
      <c r="D277" s="83"/>
      <c r="E277" s="40">
        <f t="array" ref="E277">IFERROR(_xlfn.XLOOKUP('Lançamentos'!$D277,Planilha1!$B$2:$B$35,Planilha1!$C$2:$C$35),0)</f>
        <v>0</v>
      </c>
      <c r="F277" s="84"/>
      <c r="G277" s="43" t="b">
        <v>0</v>
      </c>
      <c r="H277" s="45" t="str">
        <f>IF(AND('Análise'!$G$7="Pago",'Lançamentos'!$G277=TRUE),'Lançamentos'!$F277,IF(AND('Análise'!$G$7="Em Aberto",'Lançamentos'!$G277=FALSE),'Lançamentos'!$F277,IF('Análise'!$G$7="Todos",'Lançamentos'!$F277,0)))</f>
        <v/>
      </c>
    </row>
    <row r="278" ht="15.75" customHeight="1">
      <c r="B278" s="52"/>
      <c r="C278" s="27" t="str">
        <f>IF('Lançamentos'!$B278&lt;&gt;"",YEAR('Lançamentos'!$B278)*100+MONTH(B278),"")</f>
        <v/>
      </c>
      <c r="D278" s="83"/>
      <c r="E278" s="40">
        <f t="array" ref="E278">IFERROR(_xlfn.XLOOKUP('Lançamentos'!$D278,Planilha1!$B$2:$B$35,Planilha1!$C$2:$C$35),0)</f>
        <v>0</v>
      </c>
      <c r="F278" s="84"/>
      <c r="G278" s="43" t="b">
        <v>0</v>
      </c>
      <c r="H278" s="45" t="str">
        <f>IF(AND('Análise'!$G$7="Pago",'Lançamentos'!$G278=TRUE),'Lançamentos'!$F278,IF(AND('Análise'!$G$7="Em Aberto",'Lançamentos'!$G278=FALSE),'Lançamentos'!$F278,IF('Análise'!$G$7="Todos",'Lançamentos'!$F278,0)))</f>
        <v/>
      </c>
    </row>
    <row r="279" ht="15.75" customHeight="1">
      <c r="B279" s="52"/>
      <c r="C279" s="27" t="str">
        <f>IF('Lançamentos'!$B279&lt;&gt;"",YEAR('Lançamentos'!$B279)*100+MONTH(B279),"")</f>
        <v/>
      </c>
      <c r="D279" s="83"/>
      <c r="E279" s="40">
        <f t="array" ref="E279">IFERROR(_xlfn.XLOOKUP('Lançamentos'!$D279,Planilha1!$B$2:$B$35,Planilha1!$C$2:$C$35),0)</f>
        <v>0</v>
      </c>
      <c r="F279" s="84"/>
      <c r="G279" s="43" t="b">
        <v>0</v>
      </c>
      <c r="H279" s="45" t="str">
        <f>IF(AND('Análise'!$G$7="Pago",'Lançamentos'!$G279=TRUE),'Lançamentos'!$F279,IF(AND('Análise'!$G$7="Em Aberto",'Lançamentos'!$G279=FALSE),'Lançamentos'!$F279,IF('Análise'!$G$7="Todos",'Lançamentos'!$F279,0)))</f>
        <v/>
      </c>
    </row>
    <row r="280" ht="15.75" customHeight="1">
      <c r="B280" s="52"/>
      <c r="C280" s="27" t="str">
        <f>IF('Lançamentos'!$B280&lt;&gt;"",YEAR('Lançamentos'!$B280)*100+MONTH(B280),"")</f>
        <v/>
      </c>
      <c r="D280" s="83"/>
      <c r="E280" s="40">
        <f t="array" ref="E280">IFERROR(_xlfn.XLOOKUP('Lançamentos'!$D280,Planilha1!$B$2:$B$35,Planilha1!$C$2:$C$35),0)</f>
        <v>0</v>
      </c>
      <c r="F280" s="84"/>
      <c r="G280" s="43" t="b">
        <v>0</v>
      </c>
      <c r="H280" s="45" t="str">
        <f>IF(AND('Análise'!$G$7="Pago",'Lançamentos'!$G280=TRUE),'Lançamentos'!$F280,IF(AND('Análise'!$G$7="Em Aberto",'Lançamentos'!$G280=FALSE),'Lançamentos'!$F280,IF('Análise'!$G$7="Todos",'Lançamentos'!$F280,0)))</f>
        <v/>
      </c>
    </row>
    <row r="281" ht="15.75" customHeight="1">
      <c r="B281" s="52"/>
      <c r="C281" s="27" t="str">
        <f>IF('Lançamentos'!$B281&lt;&gt;"",YEAR('Lançamentos'!$B281)*100+MONTH(B281),"")</f>
        <v/>
      </c>
      <c r="D281" s="83"/>
      <c r="E281" s="40">
        <f t="array" ref="E281">IFERROR(_xlfn.XLOOKUP('Lançamentos'!$D281,Planilha1!$B$2:$B$35,Planilha1!$C$2:$C$35),0)</f>
        <v>0</v>
      </c>
      <c r="F281" s="84"/>
      <c r="G281" s="43" t="b">
        <v>0</v>
      </c>
      <c r="H281" s="45" t="str">
        <f>IF(AND('Análise'!$G$7="Pago",'Lançamentos'!$G281=TRUE),'Lançamentos'!$F281,IF(AND('Análise'!$G$7="Em Aberto",'Lançamentos'!$G281=FALSE),'Lançamentos'!$F281,IF('Análise'!$G$7="Todos",'Lançamentos'!$F281,0)))</f>
        <v/>
      </c>
    </row>
    <row r="282" ht="15.75" customHeight="1">
      <c r="B282" s="52"/>
      <c r="C282" s="27" t="str">
        <f>IF('Lançamentos'!$B282&lt;&gt;"",YEAR('Lançamentos'!$B282)*100+MONTH(B282),"")</f>
        <v/>
      </c>
      <c r="D282" s="83"/>
      <c r="E282" s="40">
        <f t="array" ref="E282">IFERROR(_xlfn.XLOOKUP('Lançamentos'!$D282,Planilha1!$B$2:$B$35,Planilha1!$C$2:$C$35),0)</f>
        <v>0</v>
      </c>
      <c r="F282" s="84"/>
      <c r="G282" s="43" t="b">
        <v>0</v>
      </c>
      <c r="H282" s="45" t="str">
        <f>IF(AND('Análise'!$G$7="Pago",'Lançamentos'!$G282=TRUE),'Lançamentos'!$F282,IF(AND('Análise'!$G$7="Em Aberto",'Lançamentos'!$G282=FALSE),'Lançamentos'!$F282,IF('Análise'!$G$7="Todos",'Lançamentos'!$F282,0)))</f>
        <v/>
      </c>
    </row>
    <row r="283" ht="15.75" customHeight="1">
      <c r="B283" s="52"/>
      <c r="C283" s="27" t="str">
        <f>IF('Lançamentos'!$B283&lt;&gt;"",YEAR('Lançamentos'!$B283)*100+MONTH(B283),"")</f>
        <v/>
      </c>
      <c r="D283" s="83"/>
      <c r="E283" s="40">
        <f t="array" ref="E283">IFERROR(_xlfn.XLOOKUP('Lançamentos'!$D283,Planilha1!$B$2:$B$35,Planilha1!$C$2:$C$35),0)</f>
        <v>0</v>
      </c>
      <c r="F283" s="84"/>
      <c r="G283" s="43" t="b">
        <v>0</v>
      </c>
      <c r="H283" s="45" t="str">
        <f>IF(AND('Análise'!$G$7="Pago",'Lançamentos'!$G283=TRUE),'Lançamentos'!$F283,IF(AND('Análise'!$G$7="Em Aberto",'Lançamentos'!$G283=FALSE),'Lançamentos'!$F283,IF('Análise'!$G$7="Todos",'Lançamentos'!$F283,0)))</f>
        <v/>
      </c>
    </row>
    <row r="284" ht="15.75" customHeight="1">
      <c r="B284" s="52"/>
      <c r="C284" s="27" t="str">
        <f>IF('Lançamentos'!$B284&lt;&gt;"",YEAR('Lançamentos'!$B284)*100+MONTH(B284),"")</f>
        <v/>
      </c>
      <c r="D284" s="83"/>
      <c r="E284" s="40">
        <f t="array" ref="E284">IFERROR(_xlfn.XLOOKUP('Lançamentos'!$D284,Planilha1!$B$2:$B$35,Planilha1!$C$2:$C$35),0)</f>
        <v>0</v>
      </c>
      <c r="F284" s="84"/>
      <c r="G284" s="43" t="b">
        <v>0</v>
      </c>
      <c r="H284" s="45" t="str">
        <f>IF(AND('Análise'!$G$7="Pago",'Lançamentos'!$G284=TRUE),'Lançamentos'!$F284,IF(AND('Análise'!$G$7="Em Aberto",'Lançamentos'!$G284=FALSE),'Lançamentos'!$F284,IF('Análise'!$G$7="Todos",'Lançamentos'!$F284,0)))</f>
        <v/>
      </c>
    </row>
    <row r="285" ht="15.75" customHeight="1">
      <c r="B285" s="52"/>
      <c r="C285" s="27" t="str">
        <f>IF('Lançamentos'!$B285&lt;&gt;"",YEAR('Lançamentos'!$B285)*100+MONTH(B285),"")</f>
        <v/>
      </c>
      <c r="D285" s="83"/>
      <c r="E285" s="40">
        <f t="array" ref="E285">IFERROR(_xlfn.XLOOKUP('Lançamentos'!$D285,Planilha1!$B$2:$B$35,Planilha1!$C$2:$C$35),0)</f>
        <v>0</v>
      </c>
      <c r="F285" s="84"/>
      <c r="G285" s="43" t="b">
        <v>0</v>
      </c>
      <c r="H285" s="45" t="str">
        <f>IF(AND('Análise'!$G$7="Pago",'Lançamentos'!$G285=TRUE),'Lançamentos'!$F285,IF(AND('Análise'!$G$7="Em Aberto",'Lançamentos'!$G285=FALSE),'Lançamentos'!$F285,IF('Análise'!$G$7="Todos",'Lançamentos'!$F285,0)))</f>
        <v/>
      </c>
    </row>
    <row r="286" ht="15.75" customHeight="1">
      <c r="B286" s="52"/>
      <c r="C286" s="27" t="str">
        <f>IF('Lançamentos'!$B286&lt;&gt;"",YEAR('Lançamentos'!$B286)*100+MONTH(B286),"")</f>
        <v/>
      </c>
      <c r="D286" s="83"/>
      <c r="E286" s="40">
        <f t="array" ref="E286">IFERROR(_xlfn.XLOOKUP('Lançamentos'!$D286,Planilha1!$B$2:$B$35,Planilha1!$C$2:$C$35),0)</f>
        <v>0</v>
      </c>
      <c r="F286" s="84"/>
      <c r="G286" s="43" t="b">
        <v>0</v>
      </c>
      <c r="H286" s="45" t="str">
        <f>IF(AND('Análise'!$G$7="Pago",'Lançamentos'!$G286=TRUE),'Lançamentos'!$F286,IF(AND('Análise'!$G$7="Em Aberto",'Lançamentos'!$G286=FALSE),'Lançamentos'!$F286,IF('Análise'!$G$7="Todos",'Lançamentos'!$F286,0)))</f>
        <v/>
      </c>
    </row>
    <row r="287" ht="15.75" customHeight="1">
      <c r="B287" s="52"/>
      <c r="C287" s="27" t="str">
        <f>IF('Lançamentos'!$B287&lt;&gt;"",YEAR('Lançamentos'!$B287)*100+MONTH(B287),"")</f>
        <v/>
      </c>
      <c r="D287" s="83"/>
      <c r="E287" s="40">
        <f t="array" ref="E287">IFERROR(_xlfn.XLOOKUP('Lançamentos'!$D287,Planilha1!$B$2:$B$35,Planilha1!$C$2:$C$35),0)</f>
        <v>0</v>
      </c>
      <c r="F287" s="84"/>
      <c r="G287" s="43" t="b">
        <v>0</v>
      </c>
      <c r="H287" s="45" t="str">
        <f>IF(AND('Análise'!$G$7="Pago",'Lançamentos'!$G287=TRUE),'Lançamentos'!$F287,IF(AND('Análise'!$G$7="Em Aberto",'Lançamentos'!$G287=FALSE),'Lançamentos'!$F287,IF('Análise'!$G$7="Todos",'Lançamentos'!$F287,0)))</f>
        <v/>
      </c>
    </row>
    <row r="288" ht="15.75" customHeight="1">
      <c r="B288" s="52"/>
      <c r="C288" s="27" t="str">
        <f>IF('Lançamentos'!$B288&lt;&gt;"",YEAR('Lançamentos'!$B288)*100+MONTH(B288),"")</f>
        <v/>
      </c>
      <c r="D288" s="83"/>
      <c r="E288" s="40">
        <f t="array" ref="E288">IFERROR(_xlfn.XLOOKUP('Lançamentos'!$D288,Planilha1!$B$2:$B$35,Planilha1!$C$2:$C$35),0)</f>
        <v>0</v>
      </c>
      <c r="F288" s="84"/>
      <c r="G288" s="43" t="b">
        <v>0</v>
      </c>
      <c r="H288" s="45" t="str">
        <f>IF(AND('Análise'!$G$7="Pago",'Lançamentos'!$G288=TRUE),'Lançamentos'!$F288,IF(AND('Análise'!$G$7="Em Aberto",'Lançamentos'!$G288=FALSE),'Lançamentos'!$F288,IF('Análise'!$G$7="Todos",'Lançamentos'!$F288,0)))</f>
        <v/>
      </c>
    </row>
    <row r="289" ht="15.75" customHeight="1">
      <c r="B289" s="52"/>
      <c r="C289" s="27" t="str">
        <f>IF('Lançamentos'!$B289&lt;&gt;"",YEAR('Lançamentos'!$B289)*100+MONTH(B289),"")</f>
        <v/>
      </c>
      <c r="D289" s="83"/>
      <c r="E289" s="40">
        <f t="array" ref="E289">IFERROR(_xlfn.XLOOKUP('Lançamentos'!$D289,Planilha1!$B$2:$B$35,Planilha1!$C$2:$C$35),0)</f>
        <v>0</v>
      </c>
      <c r="F289" s="84"/>
      <c r="G289" s="43" t="b">
        <v>0</v>
      </c>
      <c r="H289" s="45" t="str">
        <f>IF(AND('Análise'!$G$7="Pago",'Lançamentos'!$G289=TRUE),'Lançamentos'!$F289,IF(AND('Análise'!$G$7="Em Aberto",'Lançamentos'!$G289=FALSE),'Lançamentos'!$F289,IF('Análise'!$G$7="Todos",'Lançamentos'!$F289,0)))</f>
        <v/>
      </c>
    </row>
    <row r="290" ht="15.75" customHeight="1">
      <c r="B290" s="52"/>
      <c r="C290" s="27" t="str">
        <f>IF('Lançamentos'!$B290&lt;&gt;"",YEAR('Lançamentos'!$B290)*100+MONTH(B290),"")</f>
        <v/>
      </c>
      <c r="D290" s="83"/>
      <c r="E290" s="40">
        <f t="array" ref="E290">IFERROR(_xlfn.XLOOKUP('Lançamentos'!$D290,Planilha1!$B$2:$B$35,Planilha1!$C$2:$C$35),0)</f>
        <v>0</v>
      </c>
      <c r="F290" s="84"/>
      <c r="G290" s="43" t="b">
        <v>0</v>
      </c>
      <c r="H290" s="45" t="str">
        <f>IF(AND('Análise'!$G$7="Pago",'Lançamentos'!$G290=TRUE),'Lançamentos'!$F290,IF(AND('Análise'!$G$7="Em Aberto",'Lançamentos'!$G290=FALSE),'Lançamentos'!$F290,IF('Análise'!$G$7="Todos",'Lançamentos'!$F290,0)))</f>
        <v/>
      </c>
    </row>
    <row r="291" ht="15.75" customHeight="1">
      <c r="B291" s="52"/>
      <c r="C291" s="27" t="str">
        <f>IF('Lançamentos'!$B291&lt;&gt;"",YEAR('Lançamentos'!$B291)*100+MONTH(B291),"")</f>
        <v/>
      </c>
      <c r="D291" s="83"/>
      <c r="E291" s="40">
        <f t="array" ref="E291">IFERROR(_xlfn.XLOOKUP('Lançamentos'!$D291,Planilha1!$B$2:$B$35,Planilha1!$C$2:$C$35),0)</f>
        <v>0</v>
      </c>
      <c r="F291" s="84"/>
      <c r="G291" s="43" t="b">
        <v>0</v>
      </c>
      <c r="H291" s="45" t="str">
        <f>IF(AND('Análise'!$G$7="Pago",'Lançamentos'!$G291=TRUE),'Lançamentos'!$F291,IF(AND('Análise'!$G$7="Em Aberto",'Lançamentos'!$G291=FALSE),'Lançamentos'!$F291,IF('Análise'!$G$7="Todos",'Lançamentos'!$F291,0)))</f>
        <v/>
      </c>
    </row>
    <row r="292" ht="15.75" customHeight="1">
      <c r="B292" s="52"/>
      <c r="C292" s="27" t="str">
        <f>IF('Lançamentos'!$B292&lt;&gt;"",YEAR('Lançamentos'!$B292)*100+MONTH(B292),"")</f>
        <v/>
      </c>
      <c r="D292" s="83"/>
      <c r="E292" s="40">
        <f t="array" ref="E292">IFERROR(_xlfn.XLOOKUP('Lançamentos'!$D292,Planilha1!$B$2:$B$35,Planilha1!$C$2:$C$35),0)</f>
        <v>0</v>
      </c>
      <c r="F292" s="84"/>
      <c r="G292" s="43" t="b">
        <v>0</v>
      </c>
      <c r="H292" s="45" t="str">
        <f>IF(AND('Análise'!$G$7="Pago",'Lançamentos'!$G292=TRUE),'Lançamentos'!$F292,IF(AND('Análise'!$G$7="Em Aberto",'Lançamentos'!$G292=FALSE),'Lançamentos'!$F292,IF('Análise'!$G$7="Todos",'Lançamentos'!$F292,0)))</f>
        <v/>
      </c>
    </row>
    <row r="293" ht="15.75" customHeight="1">
      <c r="B293" s="52"/>
      <c r="C293" s="27" t="str">
        <f>IF('Lançamentos'!$B293&lt;&gt;"",YEAR('Lançamentos'!$B293)*100+MONTH(B293),"")</f>
        <v/>
      </c>
      <c r="D293" s="83"/>
      <c r="E293" s="40">
        <f t="array" ref="E293">IFERROR(_xlfn.XLOOKUP('Lançamentos'!$D293,Planilha1!$B$2:$B$35,Planilha1!$C$2:$C$35),0)</f>
        <v>0</v>
      </c>
      <c r="F293" s="84"/>
      <c r="G293" s="43" t="b">
        <v>0</v>
      </c>
      <c r="H293" s="45" t="str">
        <f>IF(AND('Análise'!$G$7="Pago",'Lançamentos'!$G293=TRUE),'Lançamentos'!$F293,IF(AND('Análise'!$G$7="Em Aberto",'Lançamentos'!$G293=FALSE),'Lançamentos'!$F293,IF('Análise'!$G$7="Todos",'Lançamentos'!$F293,0)))</f>
        <v/>
      </c>
    </row>
    <row r="294" ht="15.75" customHeight="1">
      <c r="B294" s="52"/>
      <c r="C294" s="27" t="str">
        <f>IF('Lançamentos'!$B294&lt;&gt;"",YEAR('Lançamentos'!$B294)*100+MONTH(B294),"")</f>
        <v/>
      </c>
      <c r="D294" s="83"/>
      <c r="E294" s="40">
        <f t="array" ref="E294">IFERROR(_xlfn.XLOOKUP('Lançamentos'!$D294,Planilha1!$B$2:$B$35,Planilha1!$C$2:$C$35),0)</f>
        <v>0</v>
      </c>
      <c r="F294" s="84"/>
      <c r="G294" s="43" t="b">
        <v>0</v>
      </c>
      <c r="H294" s="45" t="str">
        <f>IF(AND('Análise'!$G$7="Pago",'Lançamentos'!$G294=TRUE),'Lançamentos'!$F294,IF(AND('Análise'!$G$7="Em Aberto",'Lançamentos'!$G294=FALSE),'Lançamentos'!$F294,IF('Análise'!$G$7="Todos",'Lançamentos'!$F294,0)))</f>
        <v/>
      </c>
    </row>
    <row r="295" ht="15.75" customHeight="1">
      <c r="B295" s="52"/>
      <c r="C295" s="27" t="str">
        <f>IF('Lançamentos'!$B295&lt;&gt;"",YEAR('Lançamentos'!$B295)*100+MONTH(B295),"")</f>
        <v/>
      </c>
      <c r="D295" s="83"/>
      <c r="E295" s="40">
        <f t="array" ref="E295">IFERROR(_xlfn.XLOOKUP('Lançamentos'!$D295,Planilha1!$B$2:$B$35,Planilha1!$C$2:$C$35),0)</f>
        <v>0</v>
      </c>
      <c r="F295" s="84"/>
      <c r="G295" s="43" t="b">
        <v>0</v>
      </c>
      <c r="H295" s="45" t="str">
        <f>IF(AND('Análise'!$G$7="Pago",'Lançamentos'!$G295=TRUE),'Lançamentos'!$F295,IF(AND('Análise'!$G$7="Em Aberto",'Lançamentos'!$G295=FALSE),'Lançamentos'!$F295,IF('Análise'!$G$7="Todos",'Lançamentos'!$F295,0)))</f>
        <v/>
      </c>
    </row>
    <row r="296" ht="15.75" customHeight="1">
      <c r="B296" s="52"/>
      <c r="C296" s="27" t="str">
        <f>IF('Lançamentos'!$B296&lt;&gt;"",YEAR('Lançamentos'!$B296)*100+MONTH(B296),"")</f>
        <v/>
      </c>
      <c r="D296" s="83"/>
      <c r="E296" s="40">
        <f t="array" ref="E296">IFERROR(_xlfn.XLOOKUP('Lançamentos'!$D296,Planilha1!$B$2:$B$35,Planilha1!$C$2:$C$35),0)</f>
        <v>0</v>
      </c>
      <c r="F296" s="84"/>
      <c r="G296" s="43" t="b">
        <v>0</v>
      </c>
      <c r="H296" s="45" t="str">
        <f>IF(AND('Análise'!$G$7="Pago",'Lançamentos'!$G296=TRUE),'Lançamentos'!$F296,IF(AND('Análise'!$G$7="Em Aberto",'Lançamentos'!$G296=FALSE),'Lançamentos'!$F296,IF('Análise'!$G$7="Todos",'Lançamentos'!$F296,0)))</f>
        <v/>
      </c>
    </row>
    <row r="297" ht="15.75" customHeight="1">
      <c r="B297" s="52"/>
      <c r="C297" s="27" t="str">
        <f>IF('Lançamentos'!$B297&lt;&gt;"",YEAR('Lançamentos'!$B297)*100+MONTH(B297),"")</f>
        <v/>
      </c>
      <c r="D297" s="83"/>
      <c r="E297" s="40">
        <f t="array" ref="E297">IFERROR(_xlfn.XLOOKUP('Lançamentos'!$D297,Planilha1!$B$2:$B$35,Planilha1!$C$2:$C$35),0)</f>
        <v>0</v>
      </c>
      <c r="F297" s="84"/>
      <c r="G297" s="43" t="b">
        <v>0</v>
      </c>
      <c r="H297" s="45" t="str">
        <f>IF(AND('Análise'!$G$7="Pago",'Lançamentos'!$G297=TRUE),'Lançamentos'!$F297,IF(AND('Análise'!$G$7="Em Aberto",'Lançamentos'!$G297=FALSE),'Lançamentos'!$F297,IF('Análise'!$G$7="Todos",'Lançamentos'!$F297,0)))</f>
        <v/>
      </c>
    </row>
    <row r="298" ht="15.75" customHeight="1">
      <c r="B298" s="52"/>
      <c r="C298" s="27" t="str">
        <f>IF('Lançamentos'!$B298&lt;&gt;"",YEAR('Lançamentos'!$B298)*100+MONTH(B298),"")</f>
        <v/>
      </c>
      <c r="D298" s="83"/>
      <c r="E298" s="40">
        <f t="array" ref="E298">IFERROR(_xlfn.XLOOKUP('Lançamentos'!$D298,Planilha1!$B$2:$B$35,Planilha1!$C$2:$C$35),0)</f>
        <v>0</v>
      </c>
      <c r="F298" s="84"/>
      <c r="G298" s="43" t="b">
        <v>0</v>
      </c>
      <c r="H298" s="45" t="str">
        <f>IF(AND('Análise'!$G$7="Pago",'Lançamentos'!$G298=TRUE),'Lançamentos'!$F298,IF(AND('Análise'!$G$7="Em Aberto",'Lançamentos'!$G298=FALSE),'Lançamentos'!$F298,IF('Análise'!$G$7="Todos",'Lançamentos'!$F298,0)))</f>
        <v/>
      </c>
    </row>
    <row r="299" ht="15.75" customHeight="1">
      <c r="B299" s="52"/>
      <c r="C299" s="27" t="str">
        <f>IF('Lançamentos'!$B299&lt;&gt;"",YEAR('Lançamentos'!$B299)*100+MONTH(B299),"")</f>
        <v/>
      </c>
      <c r="D299" s="83"/>
      <c r="E299" s="40">
        <f t="array" ref="E299">IFERROR(_xlfn.XLOOKUP('Lançamentos'!$D299,Planilha1!$B$2:$B$35,Planilha1!$C$2:$C$35),0)</f>
        <v>0</v>
      </c>
      <c r="F299" s="84"/>
      <c r="G299" s="43" t="b">
        <v>0</v>
      </c>
      <c r="H299" s="45" t="str">
        <f>IF(AND('Análise'!$G$7="Pago",'Lançamentos'!$G299=TRUE),'Lançamentos'!$F299,IF(AND('Análise'!$G$7="Em Aberto",'Lançamentos'!$G299=FALSE),'Lançamentos'!$F299,IF('Análise'!$G$7="Todos",'Lançamentos'!$F299,0)))</f>
        <v/>
      </c>
    </row>
    <row r="300" ht="15.75" customHeight="1">
      <c r="B300" s="52"/>
      <c r="C300" s="27" t="str">
        <f>IF('Lançamentos'!$B300&lt;&gt;"",YEAR('Lançamentos'!$B300)*100+MONTH(B300),"")</f>
        <v/>
      </c>
      <c r="D300" s="83"/>
      <c r="E300" s="40">
        <f t="array" ref="E300">IFERROR(_xlfn.XLOOKUP('Lançamentos'!$D300,Planilha1!$B$2:$B$35,Planilha1!$C$2:$C$35),0)</f>
        <v>0</v>
      </c>
      <c r="F300" s="84"/>
      <c r="G300" s="43" t="b">
        <v>0</v>
      </c>
      <c r="H300" s="45" t="str">
        <f>IF(AND('Análise'!$G$7="Pago",'Lançamentos'!$G300=TRUE),'Lançamentos'!$F300,IF(AND('Análise'!$G$7="Em Aberto",'Lançamentos'!$G300=FALSE),'Lançamentos'!$F300,IF('Análise'!$G$7="Todos",'Lançamentos'!$F300,0)))</f>
        <v/>
      </c>
    </row>
    <row r="301" ht="15.75" customHeight="1">
      <c r="B301" s="52"/>
      <c r="C301" s="27" t="str">
        <f>IF('Lançamentos'!$B301&lt;&gt;"",YEAR('Lançamentos'!$B301)*100+MONTH(B301),"")</f>
        <v/>
      </c>
      <c r="D301" s="83"/>
      <c r="E301" s="40">
        <f t="array" ref="E301">IFERROR(_xlfn.XLOOKUP('Lançamentos'!$D301,Planilha1!$B$2:$B$35,Planilha1!$C$2:$C$35),0)</f>
        <v>0</v>
      </c>
      <c r="F301" s="84"/>
      <c r="G301" s="43" t="b">
        <v>0</v>
      </c>
      <c r="H301" s="45" t="str">
        <f>IF(AND('Análise'!$G$7="Pago",'Lançamentos'!$G301=TRUE),'Lançamentos'!$F301,IF(AND('Análise'!$G$7="Em Aberto",'Lançamentos'!$G301=FALSE),'Lançamentos'!$F301,IF('Análise'!$G$7="Todos",'Lançamentos'!$F301,0)))</f>
        <v/>
      </c>
    </row>
    <row r="302" ht="15.75" customHeight="1">
      <c r="B302" s="52"/>
      <c r="C302" s="27" t="str">
        <f>IF('Lançamentos'!$B302&lt;&gt;"",YEAR('Lançamentos'!$B302)*100+MONTH(B302),"")</f>
        <v/>
      </c>
      <c r="D302" s="83"/>
      <c r="E302" s="40">
        <f t="array" ref="E302">IFERROR(_xlfn.XLOOKUP('Lançamentos'!$D302,Planilha1!$B$2:$B$35,Planilha1!$C$2:$C$35),0)</f>
        <v>0</v>
      </c>
      <c r="F302" s="84"/>
      <c r="G302" s="43" t="b">
        <v>0</v>
      </c>
      <c r="H302" s="45" t="str">
        <f>IF(AND('Análise'!$G$7="Pago",'Lançamentos'!$G302=TRUE),'Lançamentos'!$F302,IF(AND('Análise'!$G$7="Em Aberto",'Lançamentos'!$G302=FALSE),'Lançamentos'!$F302,IF('Análise'!$G$7="Todos",'Lançamentos'!$F302,0)))</f>
        <v/>
      </c>
    </row>
    <row r="303" ht="15.75" customHeight="1">
      <c r="B303" s="52"/>
      <c r="C303" s="27" t="str">
        <f>IF('Lançamentos'!$B303&lt;&gt;"",YEAR('Lançamentos'!$B303)*100+MONTH(B303),"")</f>
        <v/>
      </c>
      <c r="D303" s="83"/>
      <c r="E303" s="40">
        <f t="array" ref="E303">IFERROR(_xlfn.XLOOKUP('Lançamentos'!$D303,Planilha1!$B$2:$B$35,Planilha1!$C$2:$C$35),0)</f>
        <v>0</v>
      </c>
      <c r="F303" s="84"/>
      <c r="G303" s="43" t="b">
        <v>0</v>
      </c>
      <c r="H303" s="45" t="str">
        <f>IF(AND('Análise'!$G$7="Pago",'Lançamentos'!$G303=TRUE),'Lançamentos'!$F303,IF(AND('Análise'!$G$7="Em Aberto",'Lançamentos'!$G303=FALSE),'Lançamentos'!$F303,IF('Análise'!$G$7="Todos",'Lançamentos'!$F303,0)))</f>
        <v/>
      </c>
    </row>
    <row r="304" ht="15.75" customHeight="1">
      <c r="B304" s="52"/>
      <c r="C304" s="27" t="str">
        <f>IF('Lançamentos'!$B304&lt;&gt;"",YEAR('Lançamentos'!$B304)*100+MONTH(B304),"")</f>
        <v/>
      </c>
      <c r="D304" s="83"/>
      <c r="E304" s="40">
        <f t="array" ref="E304">IFERROR(_xlfn.XLOOKUP('Lançamentos'!$D304,Planilha1!$B$2:$B$35,Planilha1!$C$2:$C$35),0)</f>
        <v>0</v>
      </c>
      <c r="F304" s="84"/>
      <c r="G304" s="43" t="b">
        <v>0</v>
      </c>
      <c r="H304" s="45" t="str">
        <f>IF(AND('Análise'!$G$7="Pago",'Lançamentos'!$G304=TRUE),'Lançamentos'!$F304,IF(AND('Análise'!$G$7="Em Aberto",'Lançamentos'!$G304=FALSE),'Lançamentos'!$F304,IF('Análise'!$G$7="Todos",'Lançamentos'!$F304,0)))</f>
        <v/>
      </c>
    </row>
    <row r="305" ht="15.75" customHeight="1">
      <c r="B305" s="52"/>
      <c r="C305" s="27" t="str">
        <f>IF('Lançamentos'!$B305&lt;&gt;"",YEAR('Lançamentos'!$B305)*100+MONTH(B305),"")</f>
        <v/>
      </c>
      <c r="D305" s="83"/>
      <c r="E305" s="40">
        <f t="array" ref="E305">IFERROR(_xlfn.XLOOKUP('Lançamentos'!$D305,Planilha1!$B$2:$B$35,Planilha1!$C$2:$C$35),0)</f>
        <v>0</v>
      </c>
      <c r="F305" s="84"/>
      <c r="G305" s="43" t="b">
        <v>0</v>
      </c>
      <c r="H305" s="45" t="str">
        <f>IF(AND('Análise'!$G$7="Pago",'Lançamentos'!$G305=TRUE),'Lançamentos'!$F305,IF(AND('Análise'!$G$7="Em Aberto",'Lançamentos'!$G305=FALSE),'Lançamentos'!$F305,IF('Análise'!$G$7="Todos",'Lançamentos'!$F305,0)))</f>
        <v/>
      </c>
    </row>
    <row r="306" ht="15.75" customHeight="1">
      <c r="B306" s="52"/>
      <c r="C306" s="27" t="str">
        <f>IF('Lançamentos'!$B306&lt;&gt;"",YEAR('Lançamentos'!$B306)*100+MONTH(B306),"")</f>
        <v/>
      </c>
      <c r="D306" s="83"/>
      <c r="E306" s="40">
        <f t="array" ref="E306">IFERROR(_xlfn.XLOOKUP('Lançamentos'!$D306,Planilha1!$B$2:$B$35,Planilha1!$C$2:$C$35),0)</f>
        <v>0</v>
      </c>
      <c r="F306" s="84"/>
      <c r="G306" s="43" t="b">
        <v>0</v>
      </c>
      <c r="H306" s="45" t="str">
        <f>IF(AND('Análise'!$G$7="Pago",'Lançamentos'!$G306=TRUE),'Lançamentos'!$F306,IF(AND('Análise'!$G$7="Em Aberto",'Lançamentos'!$G306=FALSE),'Lançamentos'!$F306,IF('Análise'!$G$7="Todos",'Lançamentos'!$F306,0)))</f>
        <v/>
      </c>
    </row>
    <row r="307" ht="15.75" customHeight="1">
      <c r="B307" s="52"/>
      <c r="C307" s="27" t="str">
        <f>IF('Lançamentos'!$B307&lt;&gt;"",YEAR('Lançamentos'!$B307)*100+MONTH(B307),"")</f>
        <v/>
      </c>
      <c r="D307" s="83"/>
      <c r="E307" s="40">
        <f t="array" ref="E307">IFERROR(_xlfn.XLOOKUP('Lançamentos'!$D307,Planilha1!$B$2:$B$35,Planilha1!$C$2:$C$35),0)</f>
        <v>0</v>
      </c>
      <c r="F307" s="84"/>
      <c r="G307" s="43" t="b">
        <v>0</v>
      </c>
      <c r="H307" s="45" t="str">
        <f>IF(AND('Análise'!$G$7="Pago",'Lançamentos'!$G307=TRUE),'Lançamentos'!$F307,IF(AND('Análise'!$G$7="Em Aberto",'Lançamentos'!$G307=FALSE),'Lançamentos'!$F307,IF('Análise'!$G$7="Todos",'Lançamentos'!$F307,0)))</f>
        <v/>
      </c>
    </row>
    <row r="308" ht="15.75" customHeight="1">
      <c r="B308" s="52"/>
      <c r="C308" s="27" t="str">
        <f>IF('Lançamentos'!$B308&lt;&gt;"",YEAR('Lançamentos'!$B308)*100+MONTH(B308),"")</f>
        <v/>
      </c>
      <c r="D308" s="83"/>
      <c r="E308" s="40">
        <f t="array" ref="E308">IFERROR(_xlfn.XLOOKUP('Lançamentos'!$D308,Planilha1!$B$2:$B$35,Planilha1!$C$2:$C$35),0)</f>
        <v>0</v>
      </c>
      <c r="F308" s="84"/>
      <c r="G308" s="43" t="b">
        <v>0</v>
      </c>
      <c r="H308" s="45" t="str">
        <f>IF(AND('Análise'!$G$7="Pago",'Lançamentos'!$G308=TRUE),'Lançamentos'!$F308,IF(AND('Análise'!$G$7="Em Aberto",'Lançamentos'!$G308=FALSE),'Lançamentos'!$F308,IF('Análise'!$G$7="Todos",'Lançamentos'!$F308,0)))</f>
        <v/>
      </c>
    </row>
    <row r="309" ht="15.75" customHeight="1">
      <c r="B309" s="52"/>
      <c r="C309" s="27" t="str">
        <f>IF('Lançamentos'!$B309&lt;&gt;"",YEAR('Lançamentos'!$B309)*100+MONTH(B309),"")</f>
        <v/>
      </c>
      <c r="D309" s="83"/>
      <c r="E309" s="40">
        <f t="array" ref="E309">IFERROR(_xlfn.XLOOKUP('Lançamentos'!$D309,Planilha1!$B$2:$B$35,Planilha1!$C$2:$C$35),0)</f>
        <v>0</v>
      </c>
      <c r="F309" s="84"/>
      <c r="G309" s="43" t="b">
        <v>0</v>
      </c>
      <c r="H309" s="45" t="str">
        <f>IF(AND('Análise'!$G$7="Pago",'Lançamentos'!$G309=TRUE),'Lançamentos'!$F309,IF(AND('Análise'!$G$7="Em Aberto",'Lançamentos'!$G309=FALSE),'Lançamentos'!$F309,IF('Análise'!$G$7="Todos",'Lançamentos'!$F309,0)))</f>
        <v/>
      </c>
    </row>
    <row r="310" ht="15.75" customHeight="1">
      <c r="B310" s="52"/>
      <c r="C310" s="27" t="str">
        <f>IF('Lançamentos'!$B310&lt;&gt;"",YEAR('Lançamentos'!$B310)*100+MONTH(B310),"")</f>
        <v/>
      </c>
      <c r="D310" s="83"/>
      <c r="E310" s="40">
        <f t="array" ref="E310">IFERROR(_xlfn.XLOOKUP('Lançamentos'!$D310,Planilha1!$B$2:$B$35,Planilha1!$C$2:$C$35),0)</f>
        <v>0</v>
      </c>
      <c r="F310" s="84"/>
      <c r="G310" s="43" t="b">
        <v>0</v>
      </c>
      <c r="H310" s="45" t="str">
        <f>IF(AND('Análise'!$G$7="Pago",'Lançamentos'!$G310=TRUE),'Lançamentos'!$F310,IF(AND('Análise'!$G$7="Em Aberto",'Lançamentos'!$G310=FALSE),'Lançamentos'!$F310,IF('Análise'!$G$7="Todos",'Lançamentos'!$F310,0)))</f>
        <v/>
      </c>
    </row>
    <row r="311" ht="15.75" customHeight="1">
      <c r="B311" s="52"/>
      <c r="C311" s="27" t="str">
        <f>IF('Lançamentos'!$B311&lt;&gt;"",YEAR('Lançamentos'!$B311)*100+MONTH(B311),"")</f>
        <v/>
      </c>
      <c r="D311" s="83"/>
      <c r="E311" s="40">
        <f t="array" ref="E311">IFERROR(_xlfn.XLOOKUP('Lançamentos'!$D311,Planilha1!$B$2:$B$35,Planilha1!$C$2:$C$35),0)</f>
        <v>0</v>
      </c>
      <c r="F311" s="84"/>
      <c r="G311" s="43" t="b">
        <v>0</v>
      </c>
      <c r="H311" s="45" t="str">
        <f>IF(AND('Análise'!$G$7="Pago",'Lançamentos'!$G311=TRUE),'Lançamentos'!$F311,IF(AND('Análise'!$G$7="Em Aberto",'Lançamentos'!$G311=FALSE),'Lançamentos'!$F311,IF('Análise'!$G$7="Todos",'Lançamentos'!$F311,0)))</f>
        <v/>
      </c>
    </row>
    <row r="312" ht="15.75" customHeight="1">
      <c r="B312" s="52"/>
      <c r="C312" s="27" t="str">
        <f>IF('Lançamentos'!$B312&lt;&gt;"",YEAR('Lançamentos'!$B312)*100+MONTH(B312),"")</f>
        <v/>
      </c>
      <c r="D312" s="83"/>
      <c r="E312" s="40">
        <f t="array" ref="E312">IFERROR(_xlfn.XLOOKUP('Lançamentos'!$D312,Planilha1!$B$2:$B$35,Planilha1!$C$2:$C$35),0)</f>
        <v>0</v>
      </c>
      <c r="F312" s="84"/>
      <c r="G312" s="43" t="b">
        <v>0</v>
      </c>
      <c r="H312" s="45" t="str">
        <f>IF(AND('Análise'!$G$7="Pago",'Lançamentos'!$G312=TRUE),'Lançamentos'!$F312,IF(AND('Análise'!$G$7="Em Aberto",'Lançamentos'!$G312=FALSE),'Lançamentos'!$F312,IF('Análise'!$G$7="Todos",'Lançamentos'!$F312,0)))</f>
        <v/>
      </c>
    </row>
    <row r="313" ht="15.75" customHeight="1">
      <c r="B313" s="52"/>
      <c r="C313" s="27" t="str">
        <f>IF('Lançamentos'!$B313&lt;&gt;"",YEAR('Lançamentos'!$B313)*100+MONTH(B313),"")</f>
        <v/>
      </c>
      <c r="D313" s="83"/>
      <c r="E313" s="40">
        <f t="array" ref="E313">IFERROR(_xlfn.XLOOKUP('Lançamentos'!$D313,Planilha1!$B$2:$B$35,Planilha1!$C$2:$C$35),0)</f>
        <v>0</v>
      </c>
      <c r="F313" s="84"/>
      <c r="G313" s="43" t="b">
        <v>0</v>
      </c>
      <c r="H313" s="45" t="str">
        <f>IF(AND('Análise'!$G$7="Pago",'Lançamentos'!$G313=TRUE),'Lançamentos'!$F313,IF(AND('Análise'!$G$7="Em Aberto",'Lançamentos'!$G313=FALSE),'Lançamentos'!$F313,IF('Análise'!$G$7="Todos",'Lançamentos'!$F313,0)))</f>
        <v/>
      </c>
    </row>
    <row r="314" ht="15.75" customHeight="1">
      <c r="B314" s="52"/>
      <c r="C314" s="27" t="str">
        <f>IF('Lançamentos'!$B314&lt;&gt;"",YEAR('Lançamentos'!$B314)*100+MONTH(B314),"")</f>
        <v/>
      </c>
      <c r="D314" s="83"/>
      <c r="E314" s="40">
        <f t="array" ref="E314">IFERROR(_xlfn.XLOOKUP('Lançamentos'!$D314,Planilha1!$B$2:$B$35,Planilha1!$C$2:$C$35),0)</f>
        <v>0</v>
      </c>
      <c r="F314" s="84"/>
      <c r="G314" s="43" t="b">
        <v>0</v>
      </c>
      <c r="H314" s="45" t="str">
        <f>IF(AND('Análise'!$G$7="Pago",'Lançamentos'!$G314=TRUE),'Lançamentos'!$F314,IF(AND('Análise'!$G$7="Em Aberto",'Lançamentos'!$G314=FALSE),'Lançamentos'!$F314,IF('Análise'!$G$7="Todos",'Lançamentos'!$F314,0)))</f>
        <v/>
      </c>
    </row>
    <row r="315" ht="15.75" customHeight="1">
      <c r="B315" s="52"/>
      <c r="C315" s="27" t="str">
        <f>IF('Lançamentos'!$B315&lt;&gt;"",YEAR('Lançamentos'!$B315)*100+MONTH(B315),"")</f>
        <v/>
      </c>
      <c r="D315" s="83"/>
      <c r="E315" s="40">
        <f t="array" ref="E315">IFERROR(_xlfn.XLOOKUP('Lançamentos'!$D315,Planilha1!$B$2:$B$35,Planilha1!$C$2:$C$35),0)</f>
        <v>0</v>
      </c>
      <c r="F315" s="84"/>
      <c r="G315" s="43" t="b">
        <v>0</v>
      </c>
      <c r="H315" s="45" t="str">
        <f>IF(AND('Análise'!$G$7="Pago",'Lançamentos'!$G315=TRUE),'Lançamentos'!$F315,IF(AND('Análise'!$G$7="Em Aberto",'Lançamentos'!$G315=FALSE),'Lançamentos'!$F315,IF('Análise'!$G$7="Todos",'Lançamentos'!$F315,0)))</f>
        <v/>
      </c>
    </row>
    <row r="316" ht="15.75" customHeight="1">
      <c r="B316" s="52"/>
      <c r="C316" s="27" t="str">
        <f>IF('Lançamentos'!$B316&lt;&gt;"",YEAR('Lançamentos'!$B316)*100+MONTH(B316),"")</f>
        <v/>
      </c>
      <c r="D316" s="83"/>
      <c r="E316" s="40">
        <f t="array" ref="E316">IFERROR(_xlfn.XLOOKUP('Lançamentos'!$D316,Planilha1!$B$2:$B$35,Planilha1!$C$2:$C$35),0)</f>
        <v>0</v>
      </c>
      <c r="F316" s="84"/>
      <c r="G316" s="43" t="b">
        <v>0</v>
      </c>
      <c r="H316" s="45" t="str">
        <f>IF(AND('Análise'!$G$7="Pago",'Lançamentos'!$G316=TRUE),'Lançamentos'!$F316,IF(AND('Análise'!$G$7="Em Aberto",'Lançamentos'!$G316=FALSE),'Lançamentos'!$F316,IF('Análise'!$G$7="Todos",'Lançamentos'!$F316,0)))</f>
        <v/>
      </c>
    </row>
    <row r="317" ht="15.75" customHeight="1">
      <c r="B317" s="52"/>
      <c r="C317" s="27" t="str">
        <f>IF('Lançamentos'!$B317&lt;&gt;"",YEAR('Lançamentos'!$B317)*100+MONTH(B317),"")</f>
        <v/>
      </c>
      <c r="D317" s="83"/>
      <c r="E317" s="40">
        <f t="array" ref="E317">IFERROR(_xlfn.XLOOKUP('Lançamentos'!$D317,Planilha1!$B$2:$B$35,Planilha1!$C$2:$C$35),0)</f>
        <v>0</v>
      </c>
      <c r="F317" s="84"/>
      <c r="G317" s="43" t="b">
        <v>0</v>
      </c>
      <c r="H317" s="45" t="str">
        <f>IF(AND('Análise'!$G$7="Pago",'Lançamentos'!$G317=TRUE),'Lançamentos'!$F317,IF(AND('Análise'!$G$7="Em Aberto",'Lançamentos'!$G317=FALSE),'Lançamentos'!$F317,IF('Análise'!$G$7="Todos",'Lançamentos'!$F317,0)))</f>
        <v/>
      </c>
    </row>
    <row r="318" ht="15.75" customHeight="1">
      <c r="B318" s="52"/>
      <c r="C318" s="27" t="str">
        <f>IF('Lançamentos'!$B318&lt;&gt;"",YEAR('Lançamentos'!$B318)*100+MONTH(B318),"")</f>
        <v/>
      </c>
      <c r="D318" s="83"/>
      <c r="E318" s="40">
        <f t="array" ref="E318">IFERROR(_xlfn.XLOOKUP('Lançamentos'!$D318,Planilha1!$B$2:$B$35,Planilha1!$C$2:$C$35),0)</f>
        <v>0</v>
      </c>
      <c r="F318" s="84"/>
      <c r="G318" s="43" t="b">
        <v>0</v>
      </c>
      <c r="H318" s="45" t="str">
        <f>IF(AND('Análise'!$G$7="Pago",'Lançamentos'!$G318=TRUE),'Lançamentos'!$F318,IF(AND('Análise'!$G$7="Em Aberto",'Lançamentos'!$G318=FALSE),'Lançamentos'!$F318,IF('Análise'!$G$7="Todos",'Lançamentos'!$F318,0)))</f>
        <v/>
      </c>
    </row>
    <row r="319" ht="15.75" customHeight="1">
      <c r="B319" s="52"/>
      <c r="C319" s="27" t="str">
        <f>IF('Lançamentos'!$B319&lt;&gt;"",YEAR('Lançamentos'!$B319)*100+MONTH(B319),"")</f>
        <v/>
      </c>
      <c r="D319" s="83"/>
      <c r="E319" s="40">
        <f t="array" ref="E319">IFERROR(_xlfn.XLOOKUP('Lançamentos'!$D319,Planilha1!$B$2:$B$35,Planilha1!$C$2:$C$35),0)</f>
        <v>0</v>
      </c>
      <c r="F319" s="84"/>
      <c r="G319" s="43" t="b">
        <v>0</v>
      </c>
      <c r="H319" s="45" t="str">
        <f>IF(AND('Análise'!$G$7="Pago",'Lançamentos'!$G319=TRUE),'Lançamentos'!$F319,IF(AND('Análise'!$G$7="Em Aberto",'Lançamentos'!$G319=FALSE),'Lançamentos'!$F319,IF('Análise'!$G$7="Todos",'Lançamentos'!$F319,0)))</f>
        <v/>
      </c>
    </row>
    <row r="320" ht="15.75" customHeight="1">
      <c r="B320" s="52"/>
      <c r="C320" s="27" t="str">
        <f>IF('Lançamentos'!$B320&lt;&gt;"",YEAR('Lançamentos'!$B320)*100+MONTH(B320),"")</f>
        <v/>
      </c>
      <c r="D320" s="83"/>
      <c r="E320" s="40">
        <f t="array" ref="E320">IFERROR(_xlfn.XLOOKUP('Lançamentos'!$D320,Planilha1!$B$2:$B$35,Planilha1!$C$2:$C$35),0)</f>
        <v>0</v>
      </c>
      <c r="F320" s="84"/>
      <c r="G320" s="43" t="b">
        <v>0</v>
      </c>
      <c r="H320" s="45" t="str">
        <f>IF(AND('Análise'!$G$7="Pago",'Lançamentos'!$G320=TRUE),'Lançamentos'!$F320,IF(AND('Análise'!$G$7="Em Aberto",'Lançamentos'!$G320=FALSE),'Lançamentos'!$F320,IF('Análise'!$G$7="Todos",'Lançamentos'!$F320,0)))</f>
        <v/>
      </c>
    </row>
    <row r="321" ht="15.75" customHeight="1">
      <c r="B321" s="52"/>
      <c r="C321" s="27" t="str">
        <f>IF('Lançamentos'!$B321&lt;&gt;"",YEAR('Lançamentos'!$B321)*100+MONTH(B321),"")</f>
        <v/>
      </c>
      <c r="D321" s="83"/>
      <c r="E321" s="40">
        <f t="array" ref="E321">IFERROR(_xlfn.XLOOKUP('Lançamentos'!$D321,Planilha1!$B$2:$B$35,Planilha1!$C$2:$C$35),0)</f>
        <v>0</v>
      </c>
      <c r="F321" s="84"/>
      <c r="G321" s="43" t="b">
        <v>0</v>
      </c>
      <c r="H321" s="45" t="str">
        <f>IF(AND('Análise'!$G$7="Pago",'Lançamentos'!$G321=TRUE),'Lançamentos'!$F321,IF(AND('Análise'!$G$7="Em Aberto",'Lançamentos'!$G321=FALSE),'Lançamentos'!$F321,IF('Análise'!$G$7="Todos",'Lançamentos'!$F321,0)))</f>
        <v/>
      </c>
    </row>
    <row r="322" ht="15.75" customHeight="1">
      <c r="B322" s="52"/>
      <c r="C322" s="27" t="str">
        <f>IF('Lançamentos'!$B322&lt;&gt;"",YEAR('Lançamentos'!$B322)*100+MONTH(B322),"")</f>
        <v/>
      </c>
      <c r="D322" s="83"/>
      <c r="E322" s="40">
        <f t="array" ref="E322">IFERROR(_xlfn.XLOOKUP('Lançamentos'!$D322,Planilha1!$B$2:$B$35,Planilha1!$C$2:$C$35),0)</f>
        <v>0</v>
      </c>
      <c r="F322" s="84"/>
      <c r="G322" s="43" t="b">
        <v>0</v>
      </c>
      <c r="H322" s="45" t="str">
        <f>IF(AND('Análise'!$G$7="Pago",'Lançamentos'!$G322=TRUE),'Lançamentos'!$F322,IF(AND('Análise'!$G$7="Em Aberto",'Lançamentos'!$G322=FALSE),'Lançamentos'!$F322,IF('Análise'!$G$7="Todos",'Lançamentos'!$F322,0)))</f>
        <v/>
      </c>
    </row>
    <row r="323" ht="15.75" customHeight="1">
      <c r="B323" s="52"/>
      <c r="C323" s="27" t="str">
        <f>IF('Lançamentos'!$B323&lt;&gt;"",YEAR('Lançamentos'!$B323)*100+MONTH(B323),"")</f>
        <v/>
      </c>
      <c r="D323" s="83"/>
      <c r="E323" s="40">
        <f t="array" ref="E323">IFERROR(_xlfn.XLOOKUP('Lançamentos'!$D323,Planilha1!$B$2:$B$35,Planilha1!$C$2:$C$35),0)</f>
        <v>0</v>
      </c>
      <c r="F323" s="84"/>
      <c r="G323" s="43" t="b">
        <v>0</v>
      </c>
      <c r="H323" s="45" t="str">
        <f>IF(AND('Análise'!$G$7="Pago",'Lançamentos'!$G323=TRUE),'Lançamentos'!$F323,IF(AND('Análise'!$G$7="Em Aberto",'Lançamentos'!$G323=FALSE),'Lançamentos'!$F323,IF('Análise'!$G$7="Todos",'Lançamentos'!$F323,0)))</f>
        <v/>
      </c>
    </row>
    <row r="324" ht="15.75" customHeight="1">
      <c r="B324" s="52"/>
      <c r="C324" s="27" t="str">
        <f>IF('Lançamentos'!$B324&lt;&gt;"",YEAR('Lançamentos'!$B324)*100+MONTH(B324),"")</f>
        <v/>
      </c>
      <c r="D324" s="83"/>
      <c r="E324" s="40">
        <f t="array" ref="E324">IFERROR(_xlfn.XLOOKUP('Lançamentos'!$D324,Planilha1!$B$2:$B$35,Planilha1!$C$2:$C$35),0)</f>
        <v>0</v>
      </c>
      <c r="F324" s="84"/>
      <c r="G324" s="43" t="b">
        <v>0</v>
      </c>
      <c r="H324" s="45" t="str">
        <f>IF(AND('Análise'!$G$7="Pago",'Lançamentos'!$G324=TRUE),'Lançamentos'!$F324,IF(AND('Análise'!$G$7="Em Aberto",'Lançamentos'!$G324=FALSE),'Lançamentos'!$F324,IF('Análise'!$G$7="Todos",'Lançamentos'!$F324,0)))</f>
        <v/>
      </c>
    </row>
    <row r="325" ht="15.75" customHeight="1">
      <c r="B325" s="52"/>
      <c r="C325" s="27" t="str">
        <f>IF('Lançamentos'!$B325&lt;&gt;"",YEAR('Lançamentos'!$B325)*100+MONTH(B325),"")</f>
        <v/>
      </c>
      <c r="D325" s="83"/>
      <c r="E325" s="40">
        <f t="array" ref="E325">IFERROR(_xlfn.XLOOKUP('Lançamentos'!$D325,Planilha1!$B$2:$B$35,Planilha1!$C$2:$C$35),0)</f>
        <v>0</v>
      </c>
      <c r="F325" s="84"/>
      <c r="G325" s="43" t="b">
        <v>0</v>
      </c>
      <c r="H325" s="45" t="str">
        <f>IF(AND('Análise'!$G$7="Pago",'Lançamentos'!$G325=TRUE),'Lançamentos'!$F325,IF(AND('Análise'!$G$7="Em Aberto",'Lançamentos'!$G325=FALSE),'Lançamentos'!$F325,IF('Análise'!$G$7="Todos",'Lançamentos'!$F325,0)))</f>
        <v/>
      </c>
    </row>
    <row r="326" ht="15.75" customHeight="1">
      <c r="B326" s="52"/>
      <c r="C326" s="27" t="str">
        <f>IF('Lançamentos'!$B326&lt;&gt;"",YEAR('Lançamentos'!$B326)*100+MONTH(B326),"")</f>
        <v/>
      </c>
      <c r="D326" s="83"/>
      <c r="E326" s="40">
        <f t="array" ref="E326">IFERROR(_xlfn.XLOOKUP('Lançamentos'!$D326,Planilha1!$B$2:$B$35,Planilha1!$C$2:$C$35),0)</f>
        <v>0</v>
      </c>
      <c r="F326" s="84"/>
      <c r="G326" s="43" t="b">
        <v>0</v>
      </c>
      <c r="H326" s="45" t="str">
        <f>IF(AND('Análise'!$G$7="Pago",'Lançamentos'!$G326=TRUE),'Lançamentos'!$F326,IF(AND('Análise'!$G$7="Em Aberto",'Lançamentos'!$G326=FALSE),'Lançamentos'!$F326,IF('Análise'!$G$7="Todos",'Lançamentos'!$F326,0)))</f>
        <v/>
      </c>
    </row>
    <row r="327" ht="15.75" customHeight="1">
      <c r="B327" s="52"/>
      <c r="C327" s="27" t="str">
        <f>IF('Lançamentos'!$B327&lt;&gt;"",YEAR('Lançamentos'!$B327)*100+MONTH(B327),"")</f>
        <v/>
      </c>
      <c r="D327" s="83"/>
      <c r="E327" s="40">
        <f t="array" ref="E327">IFERROR(_xlfn.XLOOKUP('Lançamentos'!$D327,Planilha1!$B$2:$B$35,Planilha1!$C$2:$C$35),0)</f>
        <v>0</v>
      </c>
      <c r="F327" s="84"/>
      <c r="G327" s="43" t="b">
        <v>0</v>
      </c>
      <c r="H327" s="45" t="str">
        <f>IF(AND('Análise'!$G$7="Pago",'Lançamentos'!$G327=TRUE),'Lançamentos'!$F327,IF(AND('Análise'!$G$7="Em Aberto",'Lançamentos'!$G327=FALSE),'Lançamentos'!$F327,IF('Análise'!$G$7="Todos",'Lançamentos'!$F327,0)))</f>
        <v/>
      </c>
    </row>
    <row r="328" ht="15.75" customHeight="1">
      <c r="B328" s="52"/>
      <c r="C328" s="27" t="str">
        <f>IF('Lançamentos'!$B328&lt;&gt;"",YEAR('Lançamentos'!$B328)*100+MONTH(B328),"")</f>
        <v/>
      </c>
      <c r="D328" s="83"/>
      <c r="E328" s="40">
        <f t="array" ref="E328">IFERROR(_xlfn.XLOOKUP('Lançamentos'!$D328,Planilha1!$B$2:$B$35,Planilha1!$C$2:$C$35),0)</f>
        <v>0</v>
      </c>
      <c r="F328" s="84"/>
      <c r="G328" s="43" t="b">
        <v>0</v>
      </c>
      <c r="H328" s="45" t="str">
        <f>IF(AND('Análise'!$G$7="Pago",'Lançamentos'!$G328=TRUE),'Lançamentos'!$F328,IF(AND('Análise'!$G$7="Em Aberto",'Lançamentos'!$G328=FALSE),'Lançamentos'!$F328,IF('Análise'!$G$7="Todos",'Lançamentos'!$F328,0)))</f>
        <v/>
      </c>
    </row>
    <row r="329" ht="15.75" customHeight="1">
      <c r="B329" s="52"/>
      <c r="C329" s="27" t="str">
        <f>IF('Lançamentos'!$B329&lt;&gt;"",YEAR('Lançamentos'!$B329)*100+MONTH(B329),"")</f>
        <v/>
      </c>
      <c r="D329" s="83"/>
      <c r="E329" s="40">
        <f t="array" ref="E329">IFERROR(_xlfn.XLOOKUP('Lançamentos'!$D329,Planilha1!$B$2:$B$35,Planilha1!$C$2:$C$35),0)</f>
        <v>0</v>
      </c>
      <c r="F329" s="84"/>
      <c r="G329" s="43" t="b">
        <v>0</v>
      </c>
      <c r="H329" s="45" t="str">
        <f>IF(AND('Análise'!$G$7="Pago",'Lançamentos'!$G329=TRUE),'Lançamentos'!$F329,IF(AND('Análise'!$G$7="Em Aberto",'Lançamentos'!$G329=FALSE),'Lançamentos'!$F329,IF('Análise'!$G$7="Todos",'Lançamentos'!$F329,0)))</f>
        <v/>
      </c>
    </row>
    <row r="330" ht="15.75" customHeight="1">
      <c r="B330" s="52"/>
      <c r="C330" s="27" t="str">
        <f>IF('Lançamentos'!$B330&lt;&gt;"",YEAR('Lançamentos'!$B330)*100+MONTH(B330),"")</f>
        <v/>
      </c>
      <c r="D330" s="83"/>
      <c r="E330" s="40">
        <f t="array" ref="E330">IFERROR(_xlfn.XLOOKUP('Lançamentos'!$D330,Planilha1!$B$2:$B$35,Planilha1!$C$2:$C$35),0)</f>
        <v>0</v>
      </c>
      <c r="F330" s="84"/>
      <c r="G330" s="43" t="b">
        <v>0</v>
      </c>
      <c r="H330" s="45" t="str">
        <f>IF(AND('Análise'!$G$7="Pago",'Lançamentos'!$G330=TRUE),'Lançamentos'!$F330,IF(AND('Análise'!$G$7="Em Aberto",'Lançamentos'!$G330=FALSE),'Lançamentos'!$F330,IF('Análise'!$G$7="Todos",'Lançamentos'!$F330,0)))</f>
        <v/>
      </c>
    </row>
    <row r="331" ht="15.75" customHeight="1">
      <c r="B331" s="52"/>
      <c r="C331" s="27" t="str">
        <f>IF('Lançamentos'!$B331&lt;&gt;"",YEAR('Lançamentos'!$B331)*100+MONTH(B331),"")</f>
        <v/>
      </c>
      <c r="D331" s="83"/>
      <c r="E331" s="40">
        <f t="array" ref="E331">IFERROR(_xlfn.XLOOKUP('Lançamentos'!$D331,Planilha1!$B$2:$B$35,Planilha1!$C$2:$C$35),0)</f>
        <v>0</v>
      </c>
      <c r="F331" s="84"/>
      <c r="G331" s="43" t="b">
        <v>0</v>
      </c>
      <c r="H331" s="45" t="str">
        <f>IF(AND('Análise'!$G$7="Pago",'Lançamentos'!$G331=TRUE),'Lançamentos'!$F331,IF(AND('Análise'!$G$7="Em Aberto",'Lançamentos'!$G331=FALSE),'Lançamentos'!$F331,IF('Análise'!$G$7="Todos",'Lançamentos'!$F331,0)))</f>
        <v/>
      </c>
    </row>
    <row r="332" ht="15.75" customHeight="1">
      <c r="B332" s="52"/>
      <c r="C332" s="27" t="str">
        <f>IF('Lançamentos'!$B332&lt;&gt;"",YEAR('Lançamentos'!$B332)*100+MONTH(B332),"")</f>
        <v/>
      </c>
      <c r="D332" s="83"/>
      <c r="E332" s="40">
        <f t="array" ref="E332">IFERROR(_xlfn.XLOOKUP('Lançamentos'!$D332,Planilha1!$B$2:$B$35,Planilha1!$C$2:$C$35),0)</f>
        <v>0</v>
      </c>
      <c r="F332" s="84"/>
      <c r="G332" s="43" t="b">
        <v>0</v>
      </c>
      <c r="H332" s="45" t="str">
        <f>IF(AND('Análise'!$G$7="Pago",'Lançamentos'!$G332=TRUE),'Lançamentos'!$F332,IF(AND('Análise'!$G$7="Em Aberto",'Lançamentos'!$G332=FALSE),'Lançamentos'!$F332,IF('Análise'!$G$7="Todos",'Lançamentos'!$F332,0)))</f>
        <v/>
      </c>
    </row>
    <row r="333" ht="15.75" customHeight="1">
      <c r="B333" s="52"/>
      <c r="C333" s="27" t="str">
        <f>IF('Lançamentos'!$B333&lt;&gt;"",YEAR('Lançamentos'!$B333)*100+MONTH(B333),"")</f>
        <v/>
      </c>
      <c r="D333" s="83"/>
      <c r="E333" s="40">
        <f t="array" ref="E333">IFERROR(_xlfn.XLOOKUP('Lançamentos'!$D333,Planilha1!$B$2:$B$35,Planilha1!$C$2:$C$35),0)</f>
        <v>0</v>
      </c>
      <c r="F333" s="84"/>
      <c r="G333" s="43" t="b">
        <v>0</v>
      </c>
      <c r="H333" s="45" t="str">
        <f>IF(AND('Análise'!$G$7="Pago",'Lançamentos'!$G333=TRUE),'Lançamentos'!$F333,IF(AND('Análise'!$G$7="Em Aberto",'Lançamentos'!$G333=FALSE),'Lançamentos'!$F333,IF('Análise'!$G$7="Todos",'Lançamentos'!$F333,0)))</f>
        <v/>
      </c>
    </row>
    <row r="334" ht="15.75" customHeight="1">
      <c r="B334" s="52"/>
      <c r="C334" s="27" t="str">
        <f>IF('Lançamentos'!$B334&lt;&gt;"",YEAR('Lançamentos'!$B334)*100+MONTH(B334),"")</f>
        <v/>
      </c>
      <c r="D334" s="83"/>
      <c r="E334" s="40">
        <f t="array" ref="E334">IFERROR(_xlfn.XLOOKUP('Lançamentos'!$D334,Planilha1!$B$2:$B$35,Planilha1!$C$2:$C$35),0)</f>
        <v>0</v>
      </c>
      <c r="F334" s="84"/>
      <c r="G334" s="43" t="b">
        <v>0</v>
      </c>
      <c r="H334" s="45" t="str">
        <f>IF(AND('Análise'!$G$7="Pago",'Lançamentos'!$G334=TRUE),'Lançamentos'!$F334,IF(AND('Análise'!$G$7="Em Aberto",'Lançamentos'!$G334=FALSE),'Lançamentos'!$F334,IF('Análise'!$G$7="Todos",'Lançamentos'!$F334,0)))</f>
        <v/>
      </c>
    </row>
    <row r="335" ht="15.75" customHeight="1">
      <c r="B335" s="52"/>
      <c r="C335" s="27" t="str">
        <f>IF('Lançamentos'!$B335&lt;&gt;"",YEAR('Lançamentos'!$B335)*100+MONTH(B335),"")</f>
        <v/>
      </c>
      <c r="D335" s="83"/>
      <c r="E335" s="40">
        <f t="array" ref="E335">IFERROR(_xlfn.XLOOKUP('Lançamentos'!$D335,Planilha1!$B$2:$B$35,Planilha1!$C$2:$C$35),0)</f>
        <v>0</v>
      </c>
      <c r="F335" s="84"/>
      <c r="G335" s="43" t="b">
        <v>0</v>
      </c>
      <c r="H335" s="45" t="str">
        <f>IF(AND('Análise'!$G$7="Pago",'Lançamentos'!$G335=TRUE),'Lançamentos'!$F335,IF(AND('Análise'!$G$7="Em Aberto",'Lançamentos'!$G335=FALSE),'Lançamentos'!$F335,IF('Análise'!$G$7="Todos",'Lançamentos'!$F335,0)))</f>
        <v/>
      </c>
    </row>
    <row r="336" ht="15.75" customHeight="1">
      <c r="B336" s="52"/>
      <c r="C336" s="27" t="str">
        <f>IF('Lançamentos'!$B336&lt;&gt;"",YEAR('Lançamentos'!$B336)*100+MONTH(B336),"")</f>
        <v/>
      </c>
      <c r="D336" s="83"/>
      <c r="E336" s="40">
        <f t="array" ref="E336">IFERROR(_xlfn.XLOOKUP('Lançamentos'!$D336,Planilha1!$B$2:$B$35,Planilha1!$C$2:$C$35),0)</f>
        <v>0</v>
      </c>
      <c r="F336" s="84"/>
      <c r="G336" s="43" t="b">
        <v>0</v>
      </c>
      <c r="H336" s="45" t="str">
        <f>IF(AND('Análise'!$G$7="Pago",'Lançamentos'!$G336=TRUE),'Lançamentos'!$F336,IF(AND('Análise'!$G$7="Em Aberto",'Lançamentos'!$G336=FALSE),'Lançamentos'!$F336,IF('Análise'!$G$7="Todos",'Lançamentos'!$F336,0)))</f>
        <v/>
      </c>
    </row>
    <row r="337" ht="15.75" customHeight="1">
      <c r="B337" s="52"/>
      <c r="C337" s="27" t="str">
        <f>IF('Lançamentos'!$B337&lt;&gt;"",YEAR('Lançamentos'!$B337)*100+MONTH(B337),"")</f>
        <v/>
      </c>
      <c r="D337" s="83"/>
      <c r="E337" s="40">
        <f t="array" ref="E337">IFERROR(_xlfn.XLOOKUP('Lançamentos'!$D337,Planilha1!$B$2:$B$35,Planilha1!$C$2:$C$35),0)</f>
        <v>0</v>
      </c>
      <c r="F337" s="84"/>
      <c r="G337" s="43" t="b">
        <v>0</v>
      </c>
      <c r="H337" s="45" t="str">
        <f>IF(AND('Análise'!$G$7="Pago",'Lançamentos'!$G337=TRUE),'Lançamentos'!$F337,IF(AND('Análise'!$G$7="Em Aberto",'Lançamentos'!$G337=FALSE),'Lançamentos'!$F337,IF('Análise'!$G$7="Todos",'Lançamentos'!$F337,0)))</f>
        <v/>
      </c>
    </row>
    <row r="338" ht="15.75" customHeight="1">
      <c r="B338" s="52"/>
      <c r="C338" s="27" t="str">
        <f>IF('Lançamentos'!$B338&lt;&gt;"",YEAR('Lançamentos'!$B338)*100+MONTH(B338),"")</f>
        <v/>
      </c>
      <c r="D338" s="83"/>
      <c r="E338" s="40">
        <f t="array" ref="E338">IFERROR(_xlfn.XLOOKUP('Lançamentos'!$D338,Planilha1!$B$2:$B$35,Planilha1!$C$2:$C$35),0)</f>
        <v>0</v>
      </c>
      <c r="F338" s="84"/>
      <c r="G338" s="43" t="b">
        <v>0</v>
      </c>
      <c r="H338" s="45" t="str">
        <f>IF(AND('Análise'!$G$7="Pago",'Lançamentos'!$G338=TRUE),'Lançamentos'!$F338,IF(AND('Análise'!$G$7="Em Aberto",'Lançamentos'!$G338=FALSE),'Lançamentos'!$F338,IF('Análise'!$G$7="Todos",'Lançamentos'!$F338,0)))</f>
        <v/>
      </c>
    </row>
    <row r="339" ht="15.75" customHeight="1">
      <c r="B339" s="52"/>
      <c r="C339" s="27" t="str">
        <f>IF('Lançamentos'!$B339&lt;&gt;"",YEAR('Lançamentos'!$B339)*100+MONTH(B339),"")</f>
        <v/>
      </c>
      <c r="D339" s="83"/>
      <c r="E339" s="40">
        <f t="array" ref="E339">IFERROR(_xlfn.XLOOKUP('Lançamentos'!$D339,Planilha1!$B$2:$B$35,Planilha1!$C$2:$C$35),0)</f>
        <v>0</v>
      </c>
      <c r="F339" s="84"/>
      <c r="G339" s="43" t="b">
        <v>0</v>
      </c>
      <c r="H339" s="45" t="str">
        <f>IF(AND('Análise'!$G$7="Pago",'Lançamentos'!$G339=TRUE),'Lançamentos'!$F339,IF(AND('Análise'!$G$7="Em Aberto",'Lançamentos'!$G339=FALSE),'Lançamentos'!$F339,IF('Análise'!$G$7="Todos",'Lançamentos'!$F339,0)))</f>
        <v/>
      </c>
    </row>
    <row r="340" ht="15.75" customHeight="1">
      <c r="B340" s="52"/>
      <c r="C340" s="27" t="str">
        <f>IF('Lançamentos'!$B340&lt;&gt;"",YEAR('Lançamentos'!$B340)*100+MONTH(B340),"")</f>
        <v/>
      </c>
      <c r="D340" s="83"/>
      <c r="E340" s="40">
        <f t="array" ref="E340">IFERROR(_xlfn.XLOOKUP('Lançamentos'!$D340,Planilha1!$B$2:$B$35,Planilha1!$C$2:$C$35),0)</f>
        <v>0</v>
      </c>
      <c r="F340" s="84"/>
      <c r="G340" s="43" t="b">
        <v>0</v>
      </c>
      <c r="H340" s="45" t="str">
        <f>IF(AND('Análise'!$G$7="Pago",'Lançamentos'!$G340=TRUE),'Lançamentos'!$F340,IF(AND('Análise'!$G$7="Em Aberto",'Lançamentos'!$G340=FALSE),'Lançamentos'!$F340,IF('Análise'!$G$7="Todos",'Lançamentos'!$F340,0)))</f>
        <v/>
      </c>
    </row>
    <row r="341" ht="15.75" customHeight="1">
      <c r="B341" s="52"/>
      <c r="C341" s="27" t="str">
        <f>IF('Lançamentos'!$B341&lt;&gt;"",YEAR('Lançamentos'!$B341)*100+MONTH(B341),"")</f>
        <v/>
      </c>
      <c r="D341" s="83"/>
      <c r="E341" s="40">
        <f t="array" ref="E341">IFERROR(_xlfn.XLOOKUP('Lançamentos'!$D341,Planilha1!$B$2:$B$35,Planilha1!$C$2:$C$35),0)</f>
        <v>0</v>
      </c>
      <c r="F341" s="84"/>
      <c r="G341" s="43" t="b">
        <v>0</v>
      </c>
      <c r="H341" s="45" t="str">
        <f>IF(AND('Análise'!$G$7="Pago",'Lançamentos'!$G341=TRUE),'Lançamentos'!$F341,IF(AND('Análise'!$G$7="Em Aberto",'Lançamentos'!$G341=FALSE),'Lançamentos'!$F341,IF('Análise'!$G$7="Todos",'Lançamentos'!$F341,0)))</f>
        <v/>
      </c>
    </row>
    <row r="342" ht="15.75" customHeight="1">
      <c r="B342" s="52"/>
      <c r="C342" s="27" t="str">
        <f>IF('Lançamentos'!$B342&lt;&gt;"",YEAR('Lançamentos'!$B342)*100+MONTH(B342),"")</f>
        <v/>
      </c>
      <c r="D342" s="83"/>
      <c r="E342" s="40">
        <f t="array" ref="E342">IFERROR(_xlfn.XLOOKUP('Lançamentos'!$D342,Planilha1!$B$2:$B$35,Planilha1!$C$2:$C$35),0)</f>
        <v>0</v>
      </c>
      <c r="F342" s="84"/>
      <c r="G342" s="43" t="b">
        <v>0</v>
      </c>
      <c r="H342" s="45" t="str">
        <f>IF(AND('Análise'!$G$7="Pago",'Lançamentos'!$G342=TRUE),'Lançamentos'!$F342,IF(AND('Análise'!$G$7="Em Aberto",'Lançamentos'!$G342=FALSE),'Lançamentos'!$F342,IF('Análise'!$G$7="Todos",'Lançamentos'!$F342,0)))</f>
        <v/>
      </c>
    </row>
    <row r="343" ht="15.75" customHeight="1">
      <c r="B343" s="52"/>
      <c r="C343" s="27" t="str">
        <f>IF('Lançamentos'!$B343&lt;&gt;"",YEAR('Lançamentos'!$B343)*100+MONTH(B343),"")</f>
        <v/>
      </c>
      <c r="D343" s="83"/>
      <c r="E343" s="40">
        <f t="array" ref="E343">IFERROR(_xlfn.XLOOKUP('Lançamentos'!$D343,Planilha1!$B$2:$B$35,Planilha1!$C$2:$C$35),0)</f>
        <v>0</v>
      </c>
      <c r="F343" s="84"/>
      <c r="G343" s="43" t="b">
        <v>0</v>
      </c>
      <c r="H343" s="45" t="str">
        <f>IF(AND('Análise'!$G$7="Pago",'Lançamentos'!$G343=TRUE),'Lançamentos'!$F343,IF(AND('Análise'!$G$7="Em Aberto",'Lançamentos'!$G343=FALSE),'Lançamentos'!$F343,IF('Análise'!$G$7="Todos",'Lançamentos'!$F343,0)))</f>
        <v/>
      </c>
    </row>
    <row r="344" ht="15.75" customHeight="1">
      <c r="B344" s="52"/>
      <c r="C344" s="27" t="str">
        <f>IF('Lançamentos'!$B344&lt;&gt;"",YEAR('Lançamentos'!$B344)*100+MONTH(B344),"")</f>
        <v/>
      </c>
      <c r="D344" s="83"/>
      <c r="E344" s="40">
        <f t="array" ref="E344">IFERROR(_xlfn.XLOOKUP('Lançamentos'!$D344,Planilha1!$B$2:$B$35,Planilha1!$C$2:$C$35),0)</f>
        <v>0</v>
      </c>
      <c r="F344" s="84"/>
      <c r="G344" s="43" t="b">
        <v>0</v>
      </c>
      <c r="H344" s="45" t="str">
        <f>IF(AND('Análise'!$G$7="Pago",'Lançamentos'!$G344=TRUE),'Lançamentos'!$F344,IF(AND('Análise'!$G$7="Em Aberto",'Lançamentos'!$G344=FALSE),'Lançamentos'!$F344,IF('Análise'!$G$7="Todos",'Lançamentos'!$F344,0)))</f>
        <v/>
      </c>
    </row>
    <row r="345" ht="15.75" customHeight="1">
      <c r="B345" s="52"/>
      <c r="C345" s="27" t="str">
        <f>IF('Lançamentos'!$B345&lt;&gt;"",YEAR('Lançamentos'!$B345)*100+MONTH(B345),"")</f>
        <v/>
      </c>
      <c r="D345" s="83"/>
      <c r="E345" s="40">
        <f t="array" ref="E345">IFERROR(_xlfn.XLOOKUP('Lançamentos'!$D345,Planilha1!$B$2:$B$35,Planilha1!$C$2:$C$35),0)</f>
        <v>0</v>
      </c>
      <c r="F345" s="84"/>
      <c r="G345" s="43" t="b">
        <v>0</v>
      </c>
      <c r="H345" s="45" t="str">
        <f>IF(AND('Análise'!$G$7="Pago",'Lançamentos'!$G345=TRUE),'Lançamentos'!$F345,IF(AND('Análise'!$G$7="Em Aberto",'Lançamentos'!$G345=FALSE),'Lançamentos'!$F345,IF('Análise'!$G$7="Todos",'Lançamentos'!$F345,0)))</f>
        <v/>
      </c>
    </row>
    <row r="346" ht="15.75" customHeight="1">
      <c r="B346" s="52"/>
      <c r="C346" s="27" t="str">
        <f>IF('Lançamentos'!$B346&lt;&gt;"",YEAR('Lançamentos'!$B346)*100+MONTH(B346),"")</f>
        <v/>
      </c>
      <c r="D346" s="83"/>
      <c r="E346" s="40">
        <f t="array" ref="E346">IFERROR(_xlfn.XLOOKUP('Lançamentos'!$D346,Planilha1!$B$2:$B$35,Planilha1!$C$2:$C$35),0)</f>
        <v>0</v>
      </c>
      <c r="F346" s="84"/>
      <c r="G346" s="43" t="b">
        <v>0</v>
      </c>
      <c r="H346" s="45" t="str">
        <f>IF(AND('Análise'!$G$7="Pago",'Lançamentos'!$G346=TRUE),'Lançamentos'!$F346,IF(AND('Análise'!$G$7="Em Aberto",'Lançamentos'!$G346=FALSE),'Lançamentos'!$F346,IF('Análise'!$G$7="Todos",'Lançamentos'!$F346,0)))</f>
        <v/>
      </c>
    </row>
    <row r="347" ht="15.75" customHeight="1">
      <c r="B347" s="52"/>
      <c r="C347" s="27" t="str">
        <f>IF('Lançamentos'!$B347&lt;&gt;"",YEAR('Lançamentos'!$B347)*100+MONTH(B347),"")</f>
        <v/>
      </c>
      <c r="D347" s="83"/>
      <c r="E347" s="40">
        <f t="array" ref="E347">IFERROR(_xlfn.XLOOKUP('Lançamentos'!$D347,Planilha1!$B$2:$B$35,Planilha1!$C$2:$C$35),0)</f>
        <v>0</v>
      </c>
      <c r="F347" s="84"/>
      <c r="G347" s="43" t="b">
        <v>0</v>
      </c>
      <c r="H347" s="45" t="str">
        <f>IF(AND('Análise'!$G$7="Pago",'Lançamentos'!$G347=TRUE),'Lançamentos'!$F347,IF(AND('Análise'!$G$7="Em Aberto",'Lançamentos'!$G347=FALSE),'Lançamentos'!$F347,IF('Análise'!$G$7="Todos",'Lançamentos'!$F347,0)))</f>
        <v/>
      </c>
    </row>
    <row r="348" ht="15.75" customHeight="1">
      <c r="B348" s="52"/>
      <c r="C348" s="27" t="str">
        <f>IF('Lançamentos'!$B348&lt;&gt;"",YEAR('Lançamentos'!$B348)*100+MONTH(B348),"")</f>
        <v/>
      </c>
      <c r="D348" s="83"/>
      <c r="E348" s="40">
        <f t="array" ref="E348">IFERROR(_xlfn.XLOOKUP('Lançamentos'!$D348,Planilha1!$B$2:$B$35,Planilha1!$C$2:$C$35),0)</f>
        <v>0</v>
      </c>
      <c r="F348" s="84"/>
      <c r="G348" s="43" t="b">
        <v>0</v>
      </c>
      <c r="H348" s="45" t="str">
        <f>IF(AND('Análise'!$G$7="Pago",'Lançamentos'!$G348=TRUE),'Lançamentos'!$F348,IF(AND('Análise'!$G$7="Em Aberto",'Lançamentos'!$G348=FALSE),'Lançamentos'!$F348,IF('Análise'!$G$7="Todos",'Lançamentos'!$F348,0)))</f>
        <v/>
      </c>
    </row>
    <row r="349" ht="15.75" customHeight="1">
      <c r="B349" s="52"/>
      <c r="C349" s="27" t="str">
        <f>IF('Lançamentos'!$B349&lt;&gt;"",YEAR('Lançamentos'!$B349)*100+MONTH(B349),"")</f>
        <v/>
      </c>
      <c r="D349" s="83"/>
      <c r="E349" s="40">
        <f t="array" ref="E349">IFERROR(_xlfn.XLOOKUP('Lançamentos'!$D349,Planilha1!$B$2:$B$35,Planilha1!$C$2:$C$35),0)</f>
        <v>0</v>
      </c>
      <c r="F349" s="84"/>
      <c r="G349" s="43" t="b">
        <v>0</v>
      </c>
      <c r="H349" s="45" t="str">
        <f>IF(AND('Análise'!$G$7="Pago",'Lançamentos'!$G349=TRUE),'Lançamentos'!$F349,IF(AND('Análise'!$G$7="Em Aberto",'Lançamentos'!$G349=FALSE),'Lançamentos'!$F349,IF('Análise'!$G$7="Todos",'Lançamentos'!$F349,0)))</f>
        <v/>
      </c>
    </row>
    <row r="350" ht="15.75" customHeight="1">
      <c r="B350" s="52"/>
      <c r="C350" s="27" t="str">
        <f>IF('Lançamentos'!$B350&lt;&gt;"",YEAR('Lançamentos'!$B350)*100+MONTH(B350),"")</f>
        <v/>
      </c>
      <c r="D350" s="83"/>
      <c r="E350" s="40">
        <f t="array" ref="E350">IFERROR(_xlfn.XLOOKUP('Lançamentos'!$D350,Planilha1!$B$2:$B$35,Planilha1!$C$2:$C$35),0)</f>
        <v>0</v>
      </c>
      <c r="F350" s="84"/>
      <c r="G350" s="43" t="b">
        <v>0</v>
      </c>
      <c r="H350" s="45" t="str">
        <f>IF(AND('Análise'!$G$7="Pago",'Lançamentos'!$G350=TRUE),'Lançamentos'!$F350,IF(AND('Análise'!$G$7="Em Aberto",'Lançamentos'!$G350=FALSE),'Lançamentos'!$F350,IF('Análise'!$G$7="Todos",'Lançamentos'!$F350,0)))</f>
        <v/>
      </c>
    </row>
    <row r="351" ht="15.75" customHeight="1">
      <c r="B351" s="52"/>
      <c r="C351" s="27" t="str">
        <f>IF('Lançamentos'!$B351&lt;&gt;"",YEAR('Lançamentos'!$B351)*100+MONTH(B351),"")</f>
        <v/>
      </c>
      <c r="D351" s="83"/>
      <c r="E351" s="40">
        <f t="array" ref="E351">IFERROR(_xlfn.XLOOKUP('Lançamentos'!$D351,Planilha1!$B$2:$B$35,Planilha1!$C$2:$C$35),0)</f>
        <v>0</v>
      </c>
      <c r="F351" s="84"/>
      <c r="G351" s="43" t="b">
        <v>0</v>
      </c>
      <c r="H351" s="45" t="str">
        <f>IF(AND('Análise'!$G$7="Pago",'Lançamentos'!$G351=TRUE),'Lançamentos'!$F351,IF(AND('Análise'!$G$7="Em Aberto",'Lançamentos'!$G351=FALSE),'Lançamentos'!$F351,IF('Análise'!$G$7="Todos",'Lançamentos'!$F351,0)))</f>
        <v/>
      </c>
    </row>
    <row r="352" ht="15.75" customHeight="1">
      <c r="B352" s="52"/>
      <c r="C352" s="27" t="str">
        <f>IF('Lançamentos'!$B352&lt;&gt;"",YEAR('Lançamentos'!$B352)*100+MONTH(B352),"")</f>
        <v/>
      </c>
      <c r="D352" s="83"/>
      <c r="E352" s="40">
        <f t="array" ref="E352">IFERROR(_xlfn.XLOOKUP('Lançamentos'!$D352,Planilha1!$B$2:$B$35,Planilha1!$C$2:$C$35),0)</f>
        <v>0</v>
      </c>
      <c r="F352" s="84"/>
      <c r="G352" s="43" t="b">
        <v>0</v>
      </c>
      <c r="H352" s="45" t="str">
        <f>IF(AND('Análise'!$G$7="Pago",'Lançamentos'!$G352=TRUE),'Lançamentos'!$F352,IF(AND('Análise'!$G$7="Em Aberto",'Lançamentos'!$G352=FALSE),'Lançamentos'!$F352,IF('Análise'!$G$7="Todos",'Lançamentos'!$F352,0)))</f>
        <v/>
      </c>
    </row>
    <row r="353" ht="15.75" customHeight="1">
      <c r="B353" s="52"/>
      <c r="C353" s="27" t="str">
        <f>IF('Lançamentos'!$B353&lt;&gt;"",YEAR('Lançamentos'!$B353)*100+MONTH(B353),"")</f>
        <v/>
      </c>
      <c r="D353" s="83"/>
      <c r="E353" s="40">
        <f t="array" ref="E353">IFERROR(_xlfn.XLOOKUP('Lançamentos'!$D353,Planilha1!$B$2:$B$35,Planilha1!$C$2:$C$35),0)</f>
        <v>0</v>
      </c>
      <c r="F353" s="84"/>
      <c r="G353" s="43" t="b">
        <v>0</v>
      </c>
      <c r="H353" s="45" t="str">
        <f>IF(AND('Análise'!$G$7="Pago",'Lançamentos'!$G353=TRUE),'Lançamentos'!$F353,IF(AND('Análise'!$G$7="Em Aberto",'Lançamentos'!$G353=FALSE),'Lançamentos'!$F353,IF('Análise'!$G$7="Todos",'Lançamentos'!$F353,0)))</f>
        <v/>
      </c>
    </row>
    <row r="354" ht="15.75" customHeight="1">
      <c r="B354" s="52"/>
      <c r="C354" s="27" t="str">
        <f>IF('Lançamentos'!$B354&lt;&gt;"",YEAR('Lançamentos'!$B354)*100+MONTH(B354),"")</f>
        <v/>
      </c>
      <c r="D354" s="83"/>
      <c r="E354" s="40">
        <f t="array" ref="E354">IFERROR(_xlfn.XLOOKUP('Lançamentos'!$D354,Planilha1!$B$2:$B$35,Planilha1!$C$2:$C$35),0)</f>
        <v>0</v>
      </c>
      <c r="F354" s="84"/>
      <c r="G354" s="43" t="b">
        <v>0</v>
      </c>
      <c r="H354" s="45" t="str">
        <f>IF(AND('Análise'!$G$7="Pago",'Lançamentos'!$G354=TRUE),'Lançamentos'!$F354,IF(AND('Análise'!$G$7="Em Aberto",'Lançamentos'!$G354=FALSE),'Lançamentos'!$F354,IF('Análise'!$G$7="Todos",'Lançamentos'!$F354,0)))</f>
        <v/>
      </c>
    </row>
    <row r="355" ht="15.75" customHeight="1">
      <c r="B355" s="52"/>
      <c r="C355" s="27" t="str">
        <f>IF('Lançamentos'!$B355&lt;&gt;"",YEAR('Lançamentos'!$B355)*100+MONTH(B355),"")</f>
        <v/>
      </c>
      <c r="D355" s="83"/>
      <c r="E355" s="40">
        <f t="array" ref="E355">IFERROR(_xlfn.XLOOKUP('Lançamentos'!$D355,Planilha1!$B$2:$B$35,Planilha1!$C$2:$C$35),0)</f>
        <v>0</v>
      </c>
      <c r="F355" s="84"/>
      <c r="G355" s="43" t="b">
        <v>0</v>
      </c>
      <c r="H355" s="45" t="str">
        <f>IF(AND('Análise'!$G$7="Pago",'Lançamentos'!$G355=TRUE),'Lançamentos'!$F355,IF(AND('Análise'!$G$7="Em Aberto",'Lançamentos'!$G355=FALSE),'Lançamentos'!$F355,IF('Análise'!$G$7="Todos",'Lançamentos'!$F355,0)))</f>
        <v/>
      </c>
    </row>
    <row r="356" ht="15.75" customHeight="1">
      <c r="B356" s="52"/>
      <c r="C356" s="27" t="str">
        <f>IF('Lançamentos'!$B356&lt;&gt;"",YEAR('Lançamentos'!$B356)*100+MONTH(B356),"")</f>
        <v/>
      </c>
      <c r="D356" s="83"/>
      <c r="E356" s="40">
        <f t="array" ref="E356">IFERROR(_xlfn.XLOOKUP('Lançamentos'!$D356,Planilha1!$B$2:$B$35,Planilha1!$C$2:$C$35),0)</f>
        <v>0</v>
      </c>
      <c r="F356" s="84"/>
      <c r="G356" s="43" t="b">
        <v>0</v>
      </c>
      <c r="H356" s="45" t="str">
        <f>IF(AND('Análise'!$G$7="Pago",'Lançamentos'!$G356=TRUE),'Lançamentos'!$F356,IF(AND('Análise'!$G$7="Em Aberto",'Lançamentos'!$G356=FALSE),'Lançamentos'!$F356,IF('Análise'!$G$7="Todos",'Lançamentos'!$F356,0)))</f>
        <v/>
      </c>
    </row>
    <row r="357" ht="15.75" customHeight="1">
      <c r="B357" s="52"/>
      <c r="C357" s="27" t="str">
        <f>IF('Lançamentos'!$B357&lt;&gt;"",YEAR('Lançamentos'!$B357)*100+MONTH(B357),"")</f>
        <v/>
      </c>
      <c r="D357" s="83"/>
      <c r="E357" s="40">
        <f t="array" ref="E357">IFERROR(_xlfn.XLOOKUP('Lançamentos'!$D357,Planilha1!$B$2:$B$35,Planilha1!$C$2:$C$35),0)</f>
        <v>0</v>
      </c>
      <c r="F357" s="84"/>
      <c r="G357" s="43" t="b">
        <v>0</v>
      </c>
      <c r="H357" s="45" t="str">
        <f>IF(AND('Análise'!$G$7="Pago",'Lançamentos'!$G357=TRUE),'Lançamentos'!$F357,IF(AND('Análise'!$G$7="Em Aberto",'Lançamentos'!$G357=FALSE),'Lançamentos'!$F357,IF('Análise'!$G$7="Todos",'Lançamentos'!$F357,0)))</f>
        <v/>
      </c>
    </row>
    <row r="358" ht="15.75" customHeight="1">
      <c r="B358" s="52"/>
      <c r="C358" s="27" t="str">
        <f>IF('Lançamentos'!$B358&lt;&gt;"",YEAR('Lançamentos'!$B358)*100+MONTH(B358),"")</f>
        <v/>
      </c>
      <c r="D358" s="83"/>
      <c r="E358" s="40">
        <f t="array" ref="E358">IFERROR(_xlfn.XLOOKUP('Lançamentos'!$D358,Planilha1!$B$2:$B$35,Planilha1!$C$2:$C$35),0)</f>
        <v>0</v>
      </c>
      <c r="F358" s="84"/>
      <c r="G358" s="43" t="b">
        <v>0</v>
      </c>
      <c r="H358" s="45" t="str">
        <f>IF(AND('Análise'!$G$7="Pago",'Lançamentos'!$G358=TRUE),'Lançamentos'!$F358,IF(AND('Análise'!$G$7="Em Aberto",'Lançamentos'!$G358=FALSE),'Lançamentos'!$F358,IF('Análise'!$G$7="Todos",'Lançamentos'!$F358,0)))</f>
        <v/>
      </c>
    </row>
    <row r="359" ht="15.75" customHeight="1">
      <c r="B359" s="52"/>
      <c r="C359" s="27" t="str">
        <f>IF('Lançamentos'!$B359&lt;&gt;"",YEAR('Lançamentos'!$B359)*100+MONTH(B359),"")</f>
        <v/>
      </c>
      <c r="D359" s="83"/>
      <c r="E359" s="40">
        <f t="array" ref="E359">IFERROR(_xlfn.XLOOKUP('Lançamentos'!$D359,Planilha1!$B$2:$B$35,Planilha1!$C$2:$C$35),0)</f>
        <v>0</v>
      </c>
      <c r="F359" s="84"/>
      <c r="G359" s="43" t="b">
        <v>0</v>
      </c>
      <c r="H359" s="45" t="str">
        <f>IF(AND('Análise'!$G$7="Pago",'Lançamentos'!$G359=TRUE),'Lançamentos'!$F359,IF(AND('Análise'!$G$7="Em Aberto",'Lançamentos'!$G359=FALSE),'Lançamentos'!$F359,IF('Análise'!$G$7="Todos",'Lançamentos'!$F359,0)))</f>
        <v/>
      </c>
    </row>
    <row r="360" ht="15.75" customHeight="1">
      <c r="B360" s="52"/>
      <c r="C360" s="27" t="str">
        <f>IF('Lançamentos'!$B360&lt;&gt;"",YEAR('Lançamentos'!$B360)*100+MONTH(B360),"")</f>
        <v/>
      </c>
      <c r="D360" s="83"/>
      <c r="E360" s="40">
        <f t="array" ref="E360">IFERROR(_xlfn.XLOOKUP('Lançamentos'!$D360,Planilha1!$B$2:$B$35,Planilha1!$C$2:$C$35),0)</f>
        <v>0</v>
      </c>
      <c r="F360" s="84"/>
      <c r="G360" s="43" t="b">
        <v>0</v>
      </c>
      <c r="H360" s="45" t="str">
        <f>IF(AND('Análise'!$G$7="Pago",'Lançamentos'!$G360=TRUE),'Lançamentos'!$F360,IF(AND('Análise'!$G$7="Em Aberto",'Lançamentos'!$G360=FALSE),'Lançamentos'!$F360,IF('Análise'!$G$7="Todos",'Lançamentos'!$F360,0)))</f>
        <v/>
      </c>
    </row>
    <row r="361" ht="15.75" customHeight="1">
      <c r="B361" s="52"/>
      <c r="C361" s="27" t="str">
        <f>IF('Lançamentos'!$B361&lt;&gt;"",YEAR('Lançamentos'!$B361)*100+MONTH(B361),"")</f>
        <v/>
      </c>
      <c r="D361" s="83"/>
      <c r="E361" s="40">
        <f t="array" ref="E361">IFERROR(_xlfn.XLOOKUP('Lançamentos'!$D361,Planilha1!$B$2:$B$35,Planilha1!$C$2:$C$35),0)</f>
        <v>0</v>
      </c>
      <c r="F361" s="84"/>
      <c r="G361" s="43" t="b">
        <v>0</v>
      </c>
      <c r="H361" s="45" t="str">
        <f>IF(AND('Análise'!$G$7="Pago",'Lançamentos'!$G361=TRUE),'Lançamentos'!$F361,IF(AND('Análise'!$G$7="Em Aberto",'Lançamentos'!$G361=FALSE),'Lançamentos'!$F361,IF('Análise'!$G$7="Todos",'Lançamentos'!$F361,0)))</f>
        <v/>
      </c>
    </row>
    <row r="362" ht="15.75" customHeight="1">
      <c r="B362" s="52"/>
      <c r="C362" s="27" t="str">
        <f>IF('Lançamentos'!$B362&lt;&gt;"",YEAR('Lançamentos'!$B362)*100+MONTH(B362),"")</f>
        <v/>
      </c>
      <c r="D362" s="83"/>
      <c r="E362" s="40">
        <f t="array" ref="E362">IFERROR(_xlfn.XLOOKUP('Lançamentos'!$D362,Planilha1!$B$2:$B$35,Planilha1!$C$2:$C$35),0)</f>
        <v>0</v>
      </c>
      <c r="F362" s="84"/>
      <c r="G362" s="43" t="b">
        <v>0</v>
      </c>
      <c r="H362" s="45" t="str">
        <f>IF(AND('Análise'!$G$7="Pago",'Lançamentos'!$G362=TRUE),'Lançamentos'!$F362,IF(AND('Análise'!$G$7="Em Aberto",'Lançamentos'!$G362=FALSE),'Lançamentos'!$F362,IF('Análise'!$G$7="Todos",'Lançamentos'!$F362,0)))</f>
        <v/>
      </c>
    </row>
    <row r="363" ht="15.75" customHeight="1">
      <c r="B363" s="52"/>
      <c r="C363" s="27" t="str">
        <f>IF('Lançamentos'!$B363&lt;&gt;"",YEAR('Lançamentos'!$B363)*100+MONTH(B363),"")</f>
        <v/>
      </c>
      <c r="D363" s="83"/>
      <c r="E363" s="40">
        <f t="array" ref="E363">IFERROR(_xlfn.XLOOKUP('Lançamentos'!$D363,Planilha1!$B$2:$B$35,Planilha1!$C$2:$C$35),0)</f>
        <v>0</v>
      </c>
      <c r="F363" s="84"/>
      <c r="G363" s="43" t="b">
        <v>0</v>
      </c>
      <c r="H363" s="45" t="str">
        <f>IF(AND('Análise'!$G$7="Pago",'Lançamentos'!$G363=TRUE),'Lançamentos'!$F363,IF(AND('Análise'!$G$7="Em Aberto",'Lançamentos'!$G363=FALSE),'Lançamentos'!$F363,IF('Análise'!$G$7="Todos",'Lançamentos'!$F363,0)))</f>
        <v/>
      </c>
    </row>
    <row r="364" ht="15.75" customHeight="1">
      <c r="B364" s="52"/>
      <c r="C364" s="27" t="str">
        <f>IF('Lançamentos'!$B364&lt;&gt;"",YEAR('Lançamentos'!$B364)*100+MONTH(B364),"")</f>
        <v/>
      </c>
      <c r="D364" s="83"/>
      <c r="E364" s="40">
        <f t="array" ref="E364">IFERROR(_xlfn.XLOOKUP('Lançamentos'!$D364,Planilha1!$B$2:$B$35,Planilha1!$C$2:$C$35),0)</f>
        <v>0</v>
      </c>
      <c r="F364" s="84"/>
      <c r="G364" s="43" t="b">
        <v>0</v>
      </c>
      <c r="H364" s="45" t="str">
        <f>IF(AND('Análise'!$G$7="Pago",'Lançamentos'!$G364=TRUE),'Lançamentos'!$F364,IF(AND('Análise'!$G$7="Em Aberto",'Lançamentos'!$G364=FALSE),'Lançamentos'!$F364,IF('Análise'!$G$7="Todos",'Lançamentos'!$F364,0)))</f>
        <v/>
      </c>
    </row>
    <row r="365" ht="15.75" customHeight="1">
      <c r="B365" s="52"/>
      <c r="C365" s="27" t="str">
        <f>IF('Lançamentos'!$B365&lt;&gt;"",YEAR('Lançamentos'!$B365)*100+MONTH(B365),"")</f>
        <v/>
      </c>
      <c r="D365" s="83"/>
      <c r="E365" s="40">
        <f t="array" ref="E365">IFERROR(_xlfn.XLOOKUP('Lançamentos'!$D365,Planilha1!$B$2:$B$35,Planilha1!$C$2:$C$35),0)</f>
        <v>0</v>
      </c>
      <c r="F365" s="84"/>
      <c r="G365" s="43" t="b">
        <v>0</v>
      </c>
      <c r="H365" s="45" t="str">
        <f>IF(AND('Análise'!$G$7="Pago",'Lançamentos'!$G365=TRUE),'Lançamentos'!$F365,IF(AND('Análise'!$G$7="Em Aberto",'Lançamentos'!$G365=FALSE),'Lançamentos'!$F365,IF('Análise'!$G$7="Todos",'Lançamentos'!$F365,0)))</f>
        <v/>
      </c>
    </row>
    <row r="366" ht="15.75" customHeight="1">
      <c r="B366" s="52"/>
      <c r="C366" s="27" t="str">
        <f>IF('Lançamentos'!$B366&lt;&gt;"",YEAR('Lançamentos'!$B366)*100+MONTH(B366),"")</f>
        <v/>
      </c>
      <c r="D366" s="83"/>
      <c r="E366" s="40">
        <f t="array" ref="E366">IFERROR(_xlfn.XLOOKUP('Lançamentos'!$D366,Planilha1!$B$2:$B$35,Planilha1!$C$2:$C$35),0)</f>
        <v>0</v>
      </c>
      <c r="F366" s="84"/>
      <c r="G366" s="43" t="b">
        <v>0</v>
      </c>
      <c r="H366" s="45" t="str">
        <f>IF(AND('Análise'!$G$7="Pago",'Lançamentos'!$G366=TRUE),'Lançamentos'!$F366,IF(AND('Análise'!$G$7="Em Aberto",'Lançamentos'!$G366=FALSE),'Lançamentos'!$F366,IF('Análise'!$G$7="Todos",'Lançamentos'!$F366,0)))</f>
        <v/>
      </c>
    </row>
    <row r="367" ht="15.75" customHeight="1">
      <c r="B367" s="52"/>
      <c r="C367" s="27" t="str">
        <f>IF('Lançamentos'!$B367&lt;&gt;"",YEAR('Lançamentos'!$B367)*100+MONTH(B367),"")</f>
        <v/>
      </c>
      <c r="D367" s="83"/>
      <c r="E367" s="40">
        <f t="array" ref="E367">IFERROR(_xlfn.XLOOKUP('Lançamentos'!$D367,Planilha1!$B$2:$B$35,Planilha1!$C$2:$C$35),0)</f>
        <v>0</v>
      </c>
      <c r="F367" s="84"/>
      <c r="G367" s="43" t="b">
        <v>0</v>
      </c>
      <c r="H367" s="45" t="str">
        <f>IF(AND('Análise'!$G$7="Pago",'Lançamentos'!$G367=TRUE),'Lançamentos'!$F367,IF(AND('Análise'!$G$7="Em Aberto",'Lançamentos'!$G367=FALSE),'Lançamentos'!$F367,IF('Análise'!$G$7="Todos",'Lançamentos'!$F367,0)))</f>
        <v/>
      </c>
    </row>
    <row r="368" ht="15.75" customHeight="1">
      <c r="B368" s="52"/>
      <c r="C368" s="27" t="str">
        <f>IF('Lançamentos'!$B368&lt;&gt;"",YEAR('Lançamentos'!$B368)*100+MONTH(B368),"")</f>
        <v/>
      </c>
      <c r="D368" s="83"/>
      <c r="E368" s="40">
        <f t="array" ref="E368">IFERROR(_xlfn.XLOOKUP('Lançamentos'!$D368,Planilha1!$B$2:$B$35,Planilha1!$C$2:$C$35),0)</f>
        <v>0</v>
      </c>
      <c r="F368" s="84"/>
      <c r="G368" s="43" t="b">
        <v>0</v>
      </c>
      <c r="H368" s="45" t="str">
        <f>IF(AND('Análise'!$G$7="Pago",'Lançamentos'!$G368=TRUE),'Lançamentos'!$F368,IF(AND('Análise'!$G$7="Em Aberto",'Lançamentos'!$G368=FALSE),'Lançamentos'!$F368,IF('Análise'!$G$7="Todos",'Lançamentos'!$F368,0)))</f>
        <v/>
      </c>
    </row>
    <row r="369" ht="15.75" customHeight="1">
      <c r="B369" s="52"/>
      <c r="C369" s="27" t="str">
        <f>IF('Lançamentos'!$B369&lt;&gt;"",YEAR('Lançamentos'!$B369)*100+MONTH(B369),"")</f>
        <v/>
      </c>
      <c r="D369" s="83"/>
      <c r="E369" s="40">
        <f t="array" ref="E369">IFERROR(_xlfn.XLOOKUP('Lançamentos'!$D369,Planilha1!$B$2:$B$35,Planilha1!$C$2:$C$35),0)</f>
        <v>0</v>
      </c>
      <c r="F369" s="84"/>
      <c r="G369" s="43" t="b">
        <v>0</v>
      </c>
      <c r="H369" s="45" t="str">
        <f>IF(AND('Análise'!$G$7="Pago",'Lançamentos'!$G369=TRUE),'Lançamentos'!$F369,IF(AND('Análise'!$G$7="Em Aberto",'Lançamentos'!$G369=FALSE),'Lançamentos'!$F369,IF('Análise'!$G$7="Todos",'Lançamentos'!$F369,0)))</f>
        <v/>
      </c>
    </row>
    <row r="370" ht="15.75" customHeight="1">
      <c r="B370" s="52"/>
      <c r="C370" s="27" t="str">
        <f>IF('Lançamentos'!$B370&lt;&gt;"",YEAR('Lançamentos'!$B370)*100+MONTH(B370),"")</f>
        <v/>
      </c>
      <c r="D370" s="83"/>
      <c r="E370" s="40">
        <f t="array" ref="E370">IFERROR(_xlfn.XLOOKUP('Lançamentos'!$D370,Planilha1!$B$2:$B$35,Planilha1!$C$2:$C$35),0)</f>
        <v>0</v>
      </c>
      <c r="F370" s="84"/>
      <c r="G370" s="43" t="b">
        <v>0</v>
      </c>
      <c r="H370" s="45" t="str">
        <f>IF(AND('Análise'!$G$7="Pago",'Lançamentos'!$G370=TRUE),'Lançamentos'!$F370,IF(AND('Análise'!$G$7="Em Aberto",'Lançamentos'!$G370=FALSE),'Lançamentos'!$F370,IF('Análise'!$G$7="Todos",'Lançamentos'!$F370,0)))</f>
        <v/>
      </c>
    </row>
    <row r="371" ht="15.75" customHeight="1">
      <c r="B371" s="52"/>
      <c r="C371" s="27" t="str">
        <f>IF('Lançamentos'!$B371&lt;&gt;"",YEAR('Lançamentos'!$B371)*100+MONTH(B371),"")</f>
        <v/>
      </c>
      <c r="D371" s="83"/>
      <c r="E371" s="40">
        <f t="array" ref="E371">IFERROR(_xlfn.XLOOKUP('Lançamentos'!$D371,Planilha1!$B$2:$B$35,Planilha1!$C$2:$C$35),0)</f>
        <v>0</v>
      </c>
      <c r="F371" s="84"/>
      <c r="G371" s="43" t="b">
        <v>0</v>
      </c>
      <c r="H371" s="45" t="str">
        <f>IF(AND('Análise'!$G$7="Pago",'Lançamentos'!$G371=TRUE),'Lançamentos'!$F371,IF(AND('Análise'!$G$7="Em Aberto",'Lançamentos'!$G371=FALSE),'Lançamentos'!$F371,IF('Análise'!$G$7="Todos",'Lançamentos'!$F371,0)))</f>
        <v/>
      </c>
    </row>
    <row r="372" ht="15.75" customHeight="1">
      <c r="B372" s="52"/>
      <c r="C372" s="27" t="str">
        <f>IF('Lançamentos'!$B372&lt;&gt;"",YEAR('Lançamentos'!$B372)*100+MONTH(B372),"")</f>
        <v/>
      </c>
      <c r="D372" s="83"/>
      <c r="E372" s="40">
        <f t="array" ref="E372">IFERROR(_xlfn.XLOOKUP('Lançamentos'!$D372,Planilha1!$B$2:$B$35,Planilha1!$C$2:$C$35),0)</f>
        <v>0</v>
      </c>
      <c r="F372" s="84"/>
      <c r="G372" s="43" t="b">
        <v>0</v>
      </c>
      <c r="H372" s="45" t="str">
        <f>IF(AND('Análise'!$G$7="Pago",'Lançamentos'!$G372=TRUE),'Lançamentos'!$F372,IF(AND('Análise'!$G$7="Em Aberto",'Lançamentos'!$G372=FALSE),'Lançamentos'!$F372,IF('Análise'!$G$7="Todos",'Lançamentos'!$F372,0)))</f>
        <v/>
      </c>
    </row>
    <row r="373" ht="15.75" customHeight="1">
      <c r="B373" s="52"/>
      <c r="C373" s="27" t="str">
        <f>IF('Lançamentos'!$B373&lt;&gt;"",YEAR('Lançamentos'!$B373)*100+MONTH(B373),"")</f>
        <v/>
      </c>
      <c r="D373" s="83"/>
      <c r="E373" s="40">
        <f t="array" ref="E373">IFERROR(_xlfn.XLOOKUP('Lançamentos'!$D373,Planilha1!$B$2:$B$35,Planilha1!$C$2:$C$35),0)</f>
        <v>0</v>
      </c>
      <c r="F373" s="84"/>
      <c r="G373" s="43" t="b">
        <v>0</v>
      </c>
      <c r="H373" s="45" t="str">
        <f>IF(AND('Análise'!$G$7="Pago",'Lançamentos'!$G373=TRUE),'Lançamentos'!$F373,IF(AND('Análise'!$G$7="Em Aberto",'Lançamentos'!$G373=FALSE),'Lançamentos'!$F373,IF('Análise'!$G$7="Todos",'Lançamentos'!$F373,0)))</f>
        <v/>
      </c>
    </row>
    <row r="374" ht="15.75" customHeight="1">
      <c r="B374" s="52"/>
      <c r="C374" s="27" t="str">
        <f>IF('Lançamentos'!$B374&lt;&gt;"",YEAR('Lançamentos'!$B374)*100+MONTH(B374),"")</f>
        <v/>
      </c>
      <c r="D374" s="83"/>
      <c r="E374" s="40">
        <f t="array" ref="E374">IFERROR(_xlfn.XLOOKUP('Lançamentos'!$D374,Planilha1!$B$2:$B$35,Planilha1!$C$2:$C$35),0)</f>
        <v>0</v>
      </c>
      <c r="F374" s="84"/>
      <c r="G374" s="43" t="b">
        <v>0</v>
      </c>
      <c r="H374" s="45" t="str">
        <f>IF(AND('Análise'!$G$7="Pago",'Lançamentos'!$G374=TRUE),'Lançamentos'!$F374,IF(AND('Análise'!$G$7="Em Aberto",'Lançamentos'!$G374=FALSE),'Lançamentos'!$F374,IF('Análise'!$G$7="Todos",'Lançamentos'!$F374,0)))</f>
        <v/>
      </c>
    </row>
    <row r="375" ht="15.75" customHeight="1">
      <c r="B375" s="52"/>
      <c r="C375" s="27" t="str">
        <f>IF('Lançamentos'!$B375&lt;&gt;"",YEAR('Lançamentos'!$B375)*100+MONTH(B375),"")</f>
        <v/>
      </c>
      <c r="D375" s="83"/>
      <c r="E375" s="40">
        <f t="array" ref="E375">IFERROR(_xlfn.XLOOKUP('Lançamentos'!$D375,Planilha1!$B$2:$B$35,Planilha1!$C$2:$C$35),0)</f>
        <v>0</v>
      </c>
      <c r="F375" s="84"/>
      <c r="G375" s="43" t="b">
        <v>0</v>
      </c>
      <c r="H375" s="45" t="str">
        <f>IF(AND('Análise'!$G$7="Pago",'Lançamentos'!$G375=TRUE),'Lançamentos'!$F375,IF(AND('Análise'!$G$7="Em Aberto",'Lançamentos'!$G375=FALSE),'Lançamentos'!$F375,IF('Análise'!$G$7="Todos",'Lançamentos'!$F375,0)))</f>
        <v/>
      </c>
    </row>
    <row r="376" ht="15.75" customHeight="1">
      <c r="B376" s="52"/>
      <c r="C376" s="27" t="str">
        <f>IF('Lançamentos'!$B376&lt;&gt;"",YEAR('Lançamentos'!$B376)*100+MONTH(B376),"")</f>
        <v/>
      </c>
      <c r="D376" s="83"/>
      <c r="E376" s="40">
        <f t="array" ref="E376">IFERROR(_xlfn.XLOOKUP('Lançamentos'!$D376,Planilha1!$B$2:$B$35,Planilha1!$C$2:$C$35),0)</f>
        <v>0</v>
      </c>
      <c r="F376" s="84"/>
      <c r="G376" s="43" t="b">
        <v>0</v>
      </c>
      <c r="H376" s="45" t="str">
        <f>IF(AND('Análise'!$G$7="Pago",'Lançamentos'!$G376=TRUE),'Lançamentos'!$F376,IF(AND('Análise'!$G$7="Em Aberto",'Lançamentos'!$G376=FALSE),'Lançamentos'!$F376,IF('Análise'!$G$7="Todos",'Lançamentos'!$F376,0)))</f>
        <v/>
      </c>
    </row>
    <row r="377" ht="15.75" customHeight="1">
      <c r="B377" s="52"/>
      <c r="C377" s="27" t="str">
        <f>IF('Lançamentos'!$B377&lt;&gt;"",YEAR('Lançamentos'!$B377)*100+MONTH(B377),"")</f>
        <v/>
      </c>
      <c r="D377" s="83"/>
      <c r="E377" s="40">
        <f t="array" ref="E377">IFERROR(_xlfn.XLOOKUP('Lançamentos'!$D377,Planilha1!$B$2:$B$35,Planilha1!$C$2:$C$35),0)</f>
        <v>0</v>
      </c>
      <c r="F377" s="84"/>
      <c r="G377" s="43" t="b">
        <v>0</v>
      </c>
      <c r="H377" s="45" t="str">
        <f>IF(AND('Análise'!$G$7="Pago",'Lançamentos'!$G377=TRUE),'Lançamentos'!$F377,IF(AND('Análise'!$G$7="Em Aberto",'Lançamentos'!$G377=FALSE),'Lançamentos'!$F377,IF('Análise'!$G$7="Todos",'Lançamentos'!$F377,0)))</f>
        <v/>
      </c>
    </row>
    <row r="378" ht="15.75" customHeight="1">
      <c r="B378" s="52"/>
      <c r="C378" s="27" t="str">
        <f>IF('Lançamentos'!$B378&lt;&gt;"",YEAR('Lançamentos'!$B378)*100+MONTH(B378),"")</f>
        <v/>
      </c>
      <c r="D378" s="83"/>
      <c r="E378" s="40">
        <f t="array" ref="E378">IFERROR(_xlfn.XLOOKUP('Lançamentos'!$D378,Planilha1!$B$2:$B$35,Planilha1!$C$2:$C$35),0)</f>
        <v>0</v>
      </c>
      <c r="F378" s="84"/>
      <c r="G378" s="43" t="b">
        <v>0</v>
      </c>
      <c r="H378" s="45" t="str">
        <f>IF(AND('Análise'!$G$7="Pago",'Lançamentos'!$G378=TRUE),'Lançamentos'!$F378,IF(AND('Análise'!$G$7="Em Aberto",'Lançamentos'!$G378=FALSE),'Lançamentos'!$F378,IF('Análise'!$G$7="Todos",'Lançamentos'!$F378,0)))</f>
        <v/>
      </c>
    </row>
    <row r="379" ht="15.75" customHeight="1">
      <c r="B379" s="52"/>
      <c r="C379" s="27" t="str">
        <f>IF('Lançamentos'!$B379&lt;&gt;"",YEAR('Lançamentos'!$B379)*100+MONTH(B379),"")</f>
        <v/>
      </c>
      <c r="D379" s="83"/>
      <c r="E379" s="40">
        <f t="array" ref="E379">IFERROR(_xlfn.XLOOKUP('Lançamentos'!$D379,Planilha1!$B$2:$B$35,Planilha1!$C$2:$C$35),0)</f>
        <v>0</v>
      </c>
      <c r="F379" s="84"/>
      <c r="G379" s="43" t="b">
        <v>0</v>
      </c>
      <c r="H379" s="45" t="str">
        <f>IF(AND('Análise'!$G$7="Pago",'Lançamentos'!$G379=TRUE),'Lançamentos'!$F379,IF(AND('Análise'!$G$7="Em Aberto",'Lançamentos'!$G379=FALSE),'Lançamentos'!$F379,IF('Análise'!$G$7="Todos",'Lançamentos'!$F379,0)))</f>
        <v/>
      </c>
    </row>
    <row r="380" ht="15.75" customHeight="1">
      <c r="B380" s="52"/>
      <c r="C380" s="27" t="str">
        <f>IF('Lançamentos'!$B380&lt;&gt;"",YEAR('Lançamentos'!$B380)*100+MONTH(B380),"")</f>
        <v/>
      </c>
      <c r="D380" s="83"/>
      <c r="E380" s="40">
        <f t="array" ref="E380">IFERROR(_xlfn.XLOOKUP('Lançamentos'!$D380,Planilha1!$B$2:$B$35,Planilha1!$C$2:$C$35),0)</f>
        <v>0</v>
      </c>
      <c r="F380" s="84"/>
      <c r="G380" s="43" t="b">
        <v>0</v>
      </c>
      <c r="H380" s="45" t="str">
        <f>IF(AND('Análise'!$G$7="Pago",'Lançamentos'!$G380=TRUE),'Lançamentos'!$F380,IF(AND('Análise'!$G$7="Em Aberto",'Lançamentos'!$G380=FALSE),'Lançamentos'!$F380,IF('Análise'!$G$7="Todos",'Lançamentos'!$F380,0)))</f>
        <v/>
      </c>
    </row>
    <row r="381" ht="15.75" customHeight="1">
      <c r="B381" s="52"/>
      <c r="C381" s="27" t="str">
        <f>IF('Lançamentos'!$B381&lt;&gt;"",YEAR('Lançamentos'!$B381)*100+MONTH(B381),"")</f>
        <v/>
      </c>
      <c r="D381" s="83"/>
      <c r="E381" s="40">
        <f t="array" ref="E381">IFERROR(_xlfn.XLOOKUP('Lançamentos'!$D381,Planilha1!$B$2:$B$35,Planilha1!$C$2:$C$35),0)</f>
        <v>0</v>
      </c>
      <c r="F381" s="84"/>
      <c r="G381" s="43" t="b">
        <v>0</v>
      </c>
      <c r="H381" s="45" t="str">
        <f>IF(AND('Análise'!$G$7="Pago",'Lançamentos'!$G381=TRUE),'Lançamentos'!$F381,IF(AND('Análise'!$G$7="Em Aberto",'Lançamentos'!$G381=FALSE),'Lançamentos'!$F381,IF('Análise'!$G$7="Todos",'Lançamentos'!$F381,0)))</f>
        <v/>
      </c>
    </row>
    <row r="382" ht="15.75" customHeight="1">
      <c r="B382" s="52"/>
      <c r="C382" s="27" t="str">
        <f>IF('Lançamentos'!$B382&lt;&gt;"",YEAR('Lançamentos'!$B382)*100+MONTH(B382),"")</f>
        <v/>
      </c>
      <c r="D382" s="83"/>
      <c r="E382" s="40">
        <f t="array" ref="E382">IFERROR(_xlfn.XLOOKUP('Lançamentos'!$D382,Planilha1!$B$2:$B$35,Planilha1!$C$2:$C$35),0)</f>
        <v>0</v>
      </c>
      <c r="F382" s="84"/>
      <c r="G382" s="43" t="b">
        <v>0</v>
      </c>
      <c r="H382" s="45" t="str">
        <f>IF(AND('Análise'!$G$7="Pago",'Lançamentos'!$G382=TRUE),'Lançamentos'!$F382,IF(AND('Análise'!$G$7="Em Aberto",'Lançamentos'!$G382=FALSE),'Lançamentos'!$F382,IF('Análise'!$G$7="Todos",'Lançamentos'!$F382,0)))</f>
        <v/>
      </c>
    </row>
    <row r="383" ht="15.75" customHeight="1">
      <c r="B383" s="52"/>
      <c r="C383" s="27" t="str">
        <f>IF('Lançamentos'!$B383&lt;&gt;"",YEAR('Lançamentos'!$B383)*100+MONTH(B383),"")</f>
        <v/>
      </c>
      <c r="D383" s="83"/>
      <c r="E383" s="40">
        <f t="array" ref="E383">IFERROR(_xlfn.XLOOKUP('Lançamentos'!$D383,Planilha1!$B$2:$B$35,Planilha1!$C$2:$C$35),0)</f>
        <v>0</v>
      </c>
      <c r="F383" s="84"/>
      <c r="G383" s="43" t="b">
        <v>0</v>
      </c>
      <c r="H383" s="45" t="str">
        <f>IF(AND('Análise'!$G$7="Pago",'Lançamentos'!$G383=TRUE),'Lançamentos'!$F383,IF(AND('Análise'!$G$7="Em Aberto",'Lançamentos'!$G383=FALSE),'Lançamentos'!$F383,IF('Análise'!$G$7="Todos",'Lançamentos'!$F383,0)))</f>
        <v/>
      </c>
    </row>
    <row r="384" ht="15.75" customHeight="1">
      <c r="B384" s="52"/>
      <c r="C384" s="27" t="str">
        <f>IF('Lançamentos'!$B384&lt;&gt;"",YEAR('Lançamentos'!$B384)*100+MONTH(B384),"")</f>
        <v/>
      </c>
      <c r="D384" s="83"/>
      <c r="E384" s="40">
        <f t="array" ref="E384">IFERROR(_xlfn.XLOOKUP('Lançamentos'!$D384,Planilha1!$B$2:$B$35,Planilha1!$C$2:$C$35),0)</f>
        <v>0</v>
      </c>
      <c r="F384" s="84"/>
      <c r="G384" s="43" t="b">
        <v>0</v>
      </c>
      <c r="H384" s="45" t="str">
        <f>IF(AND('Análise'!$G$7="Pago",'Lançamentos'!$G384=TRUE),'Lançamentos'!$F384,IF(AND('Análise'!$G$7="Em Aberto",'Lançamentos'!$G384=FALSE),'Lançamentos'!$F384,IF('Análise'!$G$7="Todos",'Lançamentos'!$F384,0)))</f>
        <v/>
      </c>
    </row>
    <row r="385" ht="15.75" customHeight="1">
      <c r="B385" s="52"/>
      <c r="C385" s="27" t="str">
        <f>IF('Lançamentos'!$B385&lt;&gt;"",YEAR('Lançamentos'!$B385)*100+MONTH(B385),"")</f>
        <v/>
      </c>
      <c r="D385" s="83"/>
      <c r="E385" s="40">
        <f t="array" ref="E385">IFERROR(_xlfn.XLOOKUP('Lançamentos'!$D385,Planilha1!$B$2:$B$35,Planilha1!$C$2:$C$35),0)</f>
        <v>0</v>
      </c>
      <c r="F385" s="84"/>
      <c r="G385" s="43" t="b">
        <v>0</v>
      </c>
      <c r="H385" s="45" t="str">
        <f>IF(AND('Análise'!$G$7="Pago",'Lançamentos'!$G385=TRUE),'Lançamentos'!$F385,IF(AND('Análise'!$G$7="Em Aberto",'Lançamentos'!$G385=FALSE),'Lançamentos'!$F385,IF('Análise'!$G$7="Todos",'Lançamentos'!$F385,0)))</f>
        <v/>
      </c>
    </row>
    <row r="386" ht="15.75" customHeight="1">
      <c r="B386" s="52"/>
      <c r="C386" s="27" t="str">
        <f>IF('Lançamentos'!$B386&lt;&gt;"",YEAR('Lançamentos'!$B386)*100+MONTH(B386),"")</f>
        <v/>
      </c>
      <c r="D386" s="83"/>
      <c r="E386" s="40">
        <f t="array" ref="E386">IFERROR(_xlfn.XLOOKUP('Lançamentos'!$D386,Planilha1!$B$2:$B$35,Planilha1!$C$2:$C$35),0)</f>
        <v>0</v>
      </c>
      <c r="F386" s="84"/>
      <c r="G386" s="43" t="b">
        <v>0</v>
      </c>
      <c r="H386" s="45" t="str">
        <f>IF(AND('Análise'!$G$7="Pago",'Lançamentos'!$G386=TRUE),'Lançamentos'!$F386,IF(AND('Análise'!$G$7="Em Aberto",'Lançamentos'!$G386=FALSE),'Lançamentos'!$F386,IF('Análise'!$G$7="Todos",'Lançamentos'!$F386,0)))</f>
        <v/>
      </c>
    </row>
    <row r="387" ht="15.75" customHeight="1">
      <c r="B387" s="52"/>
      <c r="C387" s="27" t="str">
        <f>IF('Lançamentos'!$B387&lt;&gt;"",YEAR('Lançamentos'!$B387)*100+MONTH(B387),"")</f>
        <v/>
      </c>
      <c r="D387" s="83"/>
      <c r="E387" s="40">
        <f t="array" ref="E387">IFERROR(_xlfn.XLOOKUP('Lançamentos'!$D387,Planilha1!$B$2:$B$35,Planilha1!$C$2:$C$35),0)</f>
        <v>0</v>
      </c>
      <c r="F387" s="84"/>
      <c r="G387" s="43" t="b">
        <v>0</v>
      </c>
      <c r="H387" s="45" t="str">
        <f>IF(AND('Análise'!$G$7="Pago",'Lançamentos'!$G387=TRUE),'Lançamentos'!$F387,IF(AND('Análise'!$G$7="Em Aberto",'Lançamentos'!$G387=FALSE),'Lançamentos'!$F387,IF('Análise'!$G$7="Todos",'Lançamentos'!$F387,0)))</f>
        <v/>
      </c>
    </row>
    <row r="388" ht="15.75" customHeight="1">
      <c r="B388" s="52"/>
      <c r="C388" s="27" t="str">
        <f>IF('Lançamentos'!$B388&lt;&gt;"",YEAR('Lançamentos'!$B388)*100+MONTH(B388),"")</f>
        <v/>
      </c>
      <c r="D388" s="83"/>
      <c r="E388" s="40">
        <f t="array" ref="E388">IFERROR(_xlfn.XLOOKUP('Lançamentos'!$D388,Planilha1!$B$2:$B$35,Planilha1!$C$2:$C$35),0)</f>
        <v>0</v>
      </c>
      <c r="F388" s="84"/>
      <c r="G388" s="43" t="b">
        <v>0</v>
      </c>
      <c r="H388" s="45" t="str">
        <f>IF(AND('Análise'!$G$7="Pago",'Lançamentos'!$G388=TRUE),'Lançamentos'!$F388,IF(AND('Análise'!$G$7="Em Aberto",'Lançamentos'!$G388=FALSE),'Lançamentos'!$F388,IF('Análise'!$G$7="Todos",'Lançamentos'!$F388,0)))</f>
        <v/>
      </c>
    </row>
    <row r="389" ht="15.75" customHeight="1">
      <c r="B389" s="52"/>
      <c r="C389" s="27" t="str">
        <f>IF('Lançamentos'!$B389&lt;&gt;"",YEAR('Lançamentos'!$B389)*100+MONTH(B389),"")</f>
        <v/>
      </c>
      <c r="D389" s="83"/>
      <c r="E389" s="40">
        <f t="array" ref="E389">IFERROR(_xlfn.XLOOKUP('Lançamentos'!$D389,Planilha1!$B$2:$B$35,Planilha1!$C$2:$C$35),0)</f>
        <v>0</v>
      </c>
      <c r="F389" s="84"/>
      <c r="G389" s="43" t="b">
        <v>0</v>
      </c>
      <c r="H389" s="45" t="str">
        <f>IF(AND('Análise'!$G$7="Pago",'Lançamentos'!$G389=TRUE),'Lançamentos'!$F389,IF(AND('Análise'!$G$7="Em Aberto",'Lançamentos'!$G389=FALSE),'Lançamentos'!$F389,IF('Análise'!$G$7="Todos",'Lançamentos'!$F389,0)))</f>
        <v/>
      </c>
    </row>
    <row r="390" ht="15.75" customHeight="1">
      <c r="B390" s="52"/>
      <c r="C390" s="27" t="str">
        <f>IF('Lançamentos'!$B390&lt;&gt;"",YEAR('Lançamentos'!$B390)*100+MONTH(B390),"")</f>
        <v/>
      </c>
      <c r="D390" s="83"/>
      <c r="E390" s="40">
        <f t="array" ref="E390">IFERROR(_xlfn.XLOOKUP('Lançamentos'!$D390,Planilha1!$B$2:$B$35,Planilha1!$C$2:$C$35),0)</f>
        <v>0</v>
      </c>
      <c r="F390" s="84"/>
      <c r="G390" s="43" t="b">
        <v>0</v>
      </c>
      <c r="H390" s="45" t="str">
        <f>IF(AND('Análise'!$G$7="Pago",'Lançamentos'!$G390=TRUE),'Lançamentos'!$F390,IF(AND('Análise'!$G$7="Em Aberto",'Lançamentos'!$G390=FALSE),'Lançamentos'!$F390,IF('Análise'!$G$7="Todos",'Lançamentos'!$F390,0)))</f>
        <v/>
      </c>
    </row>
    <row r="391" ht="15.75" customHeight="1">
      <c r="B391" s="52"/>
      <c r="C391" s="27" t="str">
        <f>IF('Lançamentos'!$B391&lt;&gt;"",YEAR('Lançamentos'!$B391)*100+MONTH(B391),"")</f>
        <v/>
      </c>
      <c r="D391" s="83"/>
      <c r="E391" s="40">
        <f t="array" ref="E391">IFERROR(_xlfn.XLOOKUP('Lançamentos'!$D391,Planilha1!$B$2:$B$35,Planilha1!$C$2:$C$35),0)</f>
        <v>0</v>
      </c>
      <c r="F391" s="84"/>
      <c r="G391" s="43" t="b">
        <v>0</v>
      </c>
      <c r="H391" s="45" t="str">
        <f>IF(AND('Análise'!$G$7="Pago",'Lançamentos'!$G391=TRUE),'Lançamentos'!$F391,IF(AND('Análise'!$G$7="Em Aberto",'Lançamentos'!$G391=FALSE),'Lançamentos'!$F391,IF('Análise'!$G$7="Todos",'Lançamentos'!$F391,0)))</f>
        <v/>
      </c>
    </row>
    <row r="392" ht="15.75" customHeight="1">
      <c r="B392" s="52"/>
      <c r="C392" s="27" t="str">
        <f>IF('Lançamentos'!$B392&lt;&gt;"",YEAR('Lançamentos'!$B392)*100+MONTH(B392),"")</f>
        <v/>
      </c>
      <c r="D392" s="83"/>
      <c r="E392" s="40">
        <f t="array" ref="E392">IFERROR(_xlfn.XLOOKUP('Lançamentos'!$D392,Planilha1!$B$2:$B$35,Planilha1!$C$2:$C$35),0)</f>
        <v>0</v>
      </c>
      <c r="F392" s="84"/>
      <c r="G392" s="43" t="b">
        <v>0</v>
      </c>
      <c r="H392" s="45" t="str">
        <f>IF(AND('Análise'!$G$7="Pago",'Lançamentos'!$G392=TRUE),'Lançamentos'!$F392,IF(AND('Análise'!$G$7="Em Aberto",'Lançamentos'!$G392=FALSE),'Lançamentos'!$F392,IF('Análise'!$G$7="Todos",'Lançamentos'!$F392,0)))</f>
        <v/>
      </c>
    </row>
    <row r="393" ht="15.75" customHeight="1">
      <c r="B393" s="52"/>
      <c r="C393" s="27" t="str">
        <f>IF('Lançamentos'!$B393&lt;&gt;"",YEAR('Lançamentos'!$B393)*100+MONTH(B393),"")</f>
        <v/>
      </c>
      <c r="D393" s="83"/>
      <c r="E393" s="40">
        <f t="array" ref="E393">IFERROR(_xlfn.XLOOKUP('Lançamentos'!$D393,Planilha1!$B$2:$B$35,Planilha1!$C$2:$C$35),0)</f>
        <v>0</v>
      </c>
      <c r="F393" s="84"/>
      <c r="G393" s="43" t="b">
        <v>0</v>
      </c>
      <c r="H393" s="45" t="str">
        <f>IF(AND('Análise'!$G$7="Pago",'Lançamentos'!$G393=TRUE),'Lançamentos'!$F393,IF(AND('Análise'!$G$7="Em Aberto",'Lançamentos'!$G393=FALSE),'Lançamentos'!$F393,IF('Análise'!$G$7="Todos",'Lançamentos'!$F393,0)))</f>
        <v/>
      </c>
    </row>
    <row r="394" ht="15.75" customHeight="1">
      <c r="B394" s="52"/>
      <c r="C394" s="27" t="str">
        <f>IF('Lançamentos'!$B394&lt;&gt;"",YEAR('Lançamentos'!$B394)*100+MONTH(B394),"")</f>
        <v/>
      </c>
      <c r="D394" s="83"/>
      <c r="E394" s="40">
        <f t="array" ref="E394">IFERROR(_xlfn.XLOOKUP('Lançamentos'!$D394,Planilha1!$B$2:$B$35,Planilha1!$C$2:$C$35),0)</f>
        <v>0</v>
      </c>
      <c r="F394" s="84"/>
      <c r="G394" s="43" t="b">
        <v>0</v>
      </c>
      <c r="H394" s="45" t="str">
        <f>IF(AND('Análise'!$G$7="Pago",'Lançamentos'!$G394=TRUE),'Lançamentos'!$F394,IF(AND('Análise'!$G$7="Em Aberto",'Lançamentos'!$G394=FALSE),'Lançamentos'!$F394,IF('Análise'!$G$7="Todos",'Lançamentos'!$F394,0)))</f>
        <v/>
      </c>
    </row>
    <row r="395" ht="15.75" customHeight="1">
      <c r="B395" s="52"/>
      <c r="C395" s="27" t="str">
        <f>IF('Lançamentos'!$B395&lt;&gt;"",YEAR('Lançamentos'!$B395)*100+MONTH(B395),"")</f>
        <v/>
      </c>
      <c r="D395" s="83"/>
      <c r="E395" s="40">
        <f t="array" ref="E395">IFERROR(_xlfn.XLOOKUP('Lançamentos'!$D395,Planilha1!$B$2:$B$35,Planilha1!$C$2:$C$35),0)</f>
        <v>0</v>
      </c>
      <c r="F395" s="84"/>
      <c r="G395" s="43" t="b">
        <v>0</v>
      </c>
      <c r="H395" s="45" t="str">
        <f>IF(AND('Análise'!$G$7="Pago",'Lançamentos'!$G395=TRUE),'Lançamentos'!$F395,IF(AND('Análise'!$G$7="Em Aberto",'Lançamentos'!$G395=FALSE),'Lançamentos'!$F395,IF('Análise'!$G$7="Todos",'Lançamentos'!$F395,0)))</f>
        <v/>
      </c>
    </row>
    <row r="396" ht="15.75" customHeight="1">
      <c r="B396" s="52"/>
      <c r="C396" s="27" t="str">
        <f>IF('Lançamentos'!$B396&lt;&gt;"",YEAR('Lançamentos'!$B396)*100+MONTH(B396),"")</f>
        <v/>
      </c>
      <c r="D396" s="83"/>
      <c r="E396" s="40">
        <f t="array" ref="E396">IFERROR(_xlfn.XLOOKUP('Lançamentos'!$D396,Planilha1!$B$2:$B$35,Planilha1!$C$2:$C$35),0)</f>
        <v>0</v>
      </c>
      <c r="F396" s="84"/>
      <c r="G396" s="43" t="b">
        <v>0</v>
      </c>
      <c r="H396" s="45" t="str">
        <f>IF(AND('Análise'!$G$7="Pago",'Lançamentos'!$G396=TRUE),'Lançamentos'!$F396,IF(AND('Análise'!$G$7="Em Aberto",'Lançamentos'!$G396=FALSE),'Lançamentos'!$F396,IF('Análise'!$G$7="Todos",'Lançamentos'!$F396,0)))</f>
        <v/>
      </c>
    </row>
    <row r="397" ht="15.75" customHeight="1">
      <c r="B397" s="52"/>
      <c r="C397" s="27" t="str">
        <f>IF('Lançamentos'!$B397&lt;&gt;"",YEAR('Lançamentos'!$B397)*100+MONTH(B397),"")</f>
        <v/>
      </c>
      <c r="D397" s="83"/>
      <c r="E397" s="40">
        <f t="array" ref="E397">IFERROR(_xlfn.XLOOKUP('Lançamentos'!$D397,Planilha1!$B$2:$B$35,Planilha1!$C$2:$C$35),0)</f>
        <v>0</v>
      </c>
      <c r="F397" s="84"/>
      <c r="G397" s="43" t="b">
        <v>0</v>
      </c>
      <c r="H397" s="45" t="str">
        <f>IF(AND('Análise'!$G$7="Pago",'Lançamentos'!$G397=TRUE),'Lançamentos'!$F397,IF(AND('Análise'!$G$7="Em Aberto",'Lançamentos'!$G397=FALSE),'Lançamentos'!$F397,IF('Análise'!$G$7="Todos",'Lançamentos'!$F397,0)))</f>
        <v/>
      </c>
    </row>
    <row r="398" ht="15.75" customHeight="1">
      <c r="B398" s="52"/>
      <c r="C398" s="27" t="str">
        <f>IF('Lançamentos'!$B398&lt;&gt;"",YEAR('Lançamentos'!$B398)*100+MONTH(B398),"")</f>
        <v/>
      </c>
      <c r="D398" s="83"/>
      <c r="E398" s="40">
        <f t="array" ref="E398">IFERROR(_xlfn.XLOOKUP('Lançamentos'!$D398,Planilha1!$B$2:$B$35,Planilha1!$C$2:$C$35),0)</f>
        <v>0</v>
      </c>
      <c r="F398" s="84"/>
      <c r="G398" s="43" t="b">
        <v>0</v>
      </c>
      <c r="H398" s="45" t="str">
        <f>IF(AND('Análise'!$G$7="Pago",'Lançamentos'!$G398=TRUE),'Lançamentos'!$F398,IF(AND('Análise'!$G$7="Em Aberto",'Lançamentos'!$G398=FALSE),'Lançamentos'!$F398,IF('Análise'!$G$7="Todos",'Lançamentos'!$F398,0)))</f>
        <v/>
      </c>
    </row>
    <row r="399" ht="15.75" customHeight="1">
      <c r="B399" s="52"/>
      <c r="C399" s="27" t="str">
        <f>IF('Lançamentos'!$B399&lt;&gt;"",YEAR('Lançamentos'!$B399)*100+MONTH(B399),"")</f>
        <v/>
      </c>
      <c r="D399" s="83"/>
      <c r="E399" s="40">
        <f t="array" ref="E399">IFERROR(_xlfn.XLOOKUP('Lançamentos'!$D399,Planilha1!$B$2:$B$35,Planilha1!$C$2:$C$35),0)</f>
        <v>0</v>
      </c>
      <c r="F399" s="84"/>
      <c r="G399" s="43" t="b">
        <v>0</v>
      </c>
      <c r="H399" s="45" t="str">
        <f>IF(AND('Análise'!$G$7="Pago",'Lançamentos'!$G399=TRUE),'Lançamentos'!$F399,IF(AND('Análise'!$G$7="Em Aberto",'Lançamentos'!$G399=FALSE),'Lançamentos'!$F399,IF('Análise'!$G$7="Todos",'Lançamentos'!$F399,0)))</f>
        <v/>
      </c>
    </row>
    <row r="400" ht="15.75" customHeight="1">
      <c r="B400" s="52"/>
      <c r="C400" s="27" t="str">
        <f>IF('Lançamentos'!$B400&lt;&gt;"",YEAR('Lançamentos'!$B400)*100+MONTH(B400),"")</f>
        <v/>
      </c>
      <c r="D400" s="83"/>
      <c r="E400" s="40">
        <f t="array" ref="E400">IFERROR(_xlfn.XLOOKUP('Lançamentos'!$D400,Planilha1!$B$2:$B$35,Planilha1!$C$2:$C$35),0)</f>
        <v>0</v>
      </c>
      <c r="F400" s="84"/>
      <c r="G400" s="43" t="b">
        <v>0</v>
      </c>
      <c r="H400" s="45" t="str">
        <f>IF(AND('Análise'!$G$7="Pago",'Lançamentos'!$G400=TRUE),'Lançamentos'!$F400,IF(AND('Análise'!$G$7="Em Aberto",'Lançamentos'!$G400=FALSE),'Lançamentos'!$F400,IF('Análise'!$G$7="Todos",'Lançamentos'!$F400,0)))</f>
        <v/>
      </c>
    </row>
    <row r="401" ht="15.75" customHeight="1">
      <c r="B401" s="52"/>
      <c r="C401" s="27" t="str">
        <f>IF('Lançamentos'!$B401&lt;&gt;"",YEAR('Lançamentos'!$B401)*100+MONTH(B401),"")</f>
        <v/>
      </c>
      <c r="D401" s="83"/>
      <c r="E401" s="40">
        <f t="array" ref="E401">IFERROR(_xlfn.XLOOKUP('Lançamentos'!$D401,Planilha1!$B$2:$B$35,Planilha1!$C$2:$C$35),0)</f>
        <v>0</v>
      </c>
      <c r="F401" s="84"/>
      <c r="G401" s="43" t="b">
        <v>0</v>
      </c>
      <c r="H401" s="45" t="str">
        <f>IF(AND('Análise'!$G$7="Pago",'Lançamentos'!$G401=TRUE),'Lançamentos'!$F401,IF(AND('Análise'!$G$7="Em Aberto",'Lançamentos'!$G401=FALSE),'Lançamentos'!$F401,IF('Análise'!$G$7="Todos",'Lançamentos'!$F401,0)))</f>
        <v/>
      </c>
    </row>
    <row r="402" ht="15.75" customHeight="1">
      <c r="B402" s="52"/>
      <c r="C402" s="27" t="str">
        <f>IF('Lançamentos'!$B402&lt;&gt;"",YEAR('Lançamentos'!$B402)*100+MONTH(B402),"")</f>
        <v/>
      </c>
      <c r="D402" s="83"/>
      <c r="E402" s="40">
        <f t="array" ref="E402">IFERROR(_xlfn.XLOOKUP('Lançamentos'!$D402,Planilha1!$B$2:$B$35,Planilha1!$C$2:$C$35),0)</f>
        <v>0</v>
      </c>
      <c r="F402" s="84"/>
      <c r="G402" s="43" t="b">
        <v>0</v>
      </c>
      <c r="H402" s="45" t="str">
        <f>IF(AND('Análise'!$G$7="Pago",'Lançamentos'!$G402=TRUE),'Lançamentos'!$F402,IF(AND('Análise'!$G$7="Em Aberto",'Lançamentos'!$G402=FALSE),'Lançamentos'!$F402,IF('Análise'!$G$7="Todos",'Lançamentos'!$F402,0)))</f>
        <v/>
      </c>
    </row>
    <row r="403" ht="15.75" customHeight="1">
      <c r="B403" s="52"/>
      <c r="C403" s="27" t="str">
        <f>IF('Lançamentos'!$B403&lt;&gt;"",YEAR('Lançamentos'!$B403)*100+MONTH(B403),"")</f>
        <v/>
      </c>
      <c r="D403" s="83"/>
      <c r="E403" s="40">
        <f t="array" ref="E403">IFERROR(_xlfn.XLOOKUP('Lançamentos'!$D403,Planilha1!$B$2:$B$35,Planilha1!$C$2:$C$35),0)</f>
        <v>0</v>
      </c>
      <c r="F403" s="84"/>
      <c r="G403" s="43" t="b">
        <v>0</v>
      </c>
      <c r="H403" s="45" t="str">
        <f>IF(AND('Análise'!$G$7="Pago",'Lançamentos'!$G403=TRUE),'Lançamentos'!$F403,IF(AND('Análise'!$G$7="Em Aberto",'Lançamentos'!$G403=FALSE),'Lançamentos'!$F403,IF('Análise'!$G$7="Todos",'Lançamentos'!$F403,0)))</f>
        <v/>
      </c>
    </row>
    <row r="404" ht="15.75" customHeight="1">
      <c r="B404" s="52"/>
      <c r="C404" s="27" t="str">
        <f>IF('Lançamentos'!$B404&lt;&gt;"",YEAR('Lançamentos'!$B404)*100+MONTH(B404),"")</f>
        <v/>
      </c>
      <c r="D404" s="83"/>
      <c r="E404" s="40">
        <f t="array" ref="E404">IFERROR(_xlfn.XLOOKUP('Lançamentos'!$D404,Planilha1!$B$2:$B$35,Planilha1!$C$2:$C$35),0)</f>
        <v>0</v>
      </c>
      <c r="F404" s="84"/>
      <c r="G404" s="43" t="b">
        <v>0</v>
      </c>
      <c r="H404" s="45" t="str">
        <f>IF(AND('Análise'!$G$7="Pago",'Lançamentos'!$G404=TRUE),'Lançamentos'!$F404,IF(AND('Análise'!$G$7="Em Aberto",'Lançamentos'!$G404=FALSE),'Lançamentos'!$F404,IF('Análise'!$G$7="Todos",'Lançamentos'!$F404,0)))</f>
        <v/>
      </c>
    </row>
    <row r="405" ht="15.75" customHeight="1">
      <c r="B405" s="52"/>
      <c r="C405" s="27" t="str">
        <f>IF('Lançamentos'!$B405&lt;&gt;"",YEAR('Lançamentos'!$B405)*100+MONTH(B405),"")</f>
        <v/>
      </c>
      <c r="D405" s="83"/>
      <c r="E405" s="40">
        <f t="array" ref="E405">IFERROR(_xlfn.XLOOKUP('Lançamentos'!$D405,Planilha1!$B$2:$B$35,Planilha1!$C$2:$C$35),0)</f>
        <v>0</v>
      </c>
      <c r="F405" s="84"/>
      <c r="G405" s="43" t="b">
        <v>0</v>
      </c>
      <c r="H405" s="45" t="str">
        <f>IF(AND('Análise'!$G$7="Pago",'Lançamentos'!$G405=TRUE),'Lançamentos'!$F405,IF(AND('Análise'!$G$7="Em Aberto",'Lançamentos'!$G405=FALSE),'Lançamentos'!$F405,IF('Análise'!$G$7="Todos",'Lançamentos'!$F405,0)))</f>
        <v/>
      </c>
    </row>
    <row r="406" ht="15.75" customHeight="1">
      <c r="B406" s="52"/>
      <c r="C406" s="27" t="str">
        <f>IF('Lançamentos'!$B406&lt;&gt;"",YEAR('Lançamentos'!$B406)*100+MONTH(B406),"")</f>
        <v/>
      </c>
      <c r="D406" s="83"/>
      <c r="E406" s="40">
        <f t="array" ref="E406">IFERROR(_xlfn.XLOOKUP('Lançamentos'!$D406,Planilha1!$B$2:$B$35,Planilha1!$C$2:$C$35),0)</f>
        <v>0</v>
      </c>
      <c r="F406" s="84"/>
      <c r="G406" s="43" t="b">
        <v>0</v>
      </c>
      <c r="H406" s="45" t="str">
        <f>IF(AND('Análise'!$G$7="Pago",'Lançamentos'!$G406=TRUE),'Lançamentos'!$F406,IF(AND('Análise'!$G$7="Em Aberto",'Lançamentos'!$G406=FALSE),'Lançamentos'!$F406,IF('Análise'!$G$7="Todos",'Lançamentos'!$F406,0)))</f>
        <v/>
      </c>
    </row>
    <row r="407" ht="15.75" customHeight="1">
      <c r="B407" s="52"/>
      <c r="C407" s="27" t="str">
        <f>IF('Lançamentos'!$B407&lt;&gt;"",YEAR('Lançamentos'!$B407)*100+MONTH(B407),"")</f>
        <v/>
      </c>
      <c r="D407" s="83"/>
      <c r="E407" s="40">
        <f t="array" ref="E407">IFERROR(_xlfn.XLOOKUP('Lançamentos'!$D407,Planilha1!$B$2:$B$35,Planilha1!$C$2:$C$35),0)</f>
        <v>0</v>
      </c>
      <c r="F407" s="84"/>
      <c r="G407" s="43" t="b">
        <v>0</v>
      </c>
      <c r="H407" s="45" t="str">
        <f>IF(AND('Análise'!$G$7="Pago",'Lançamentos'!$G407=TRUE),'Lançamentos'!$F407,IF(AND('Análise'!$G$7="Em Aberto",'Lançamentos'!$G407=FALSE),'Lançamentos'!$F407,IF('Análise'!$G$7="Todos",'Lançamentos'!$F407,0)))</f>
        <v/>
      </c>
    </row>
    <row r="408" ht="15.75" customHeight="1">
      <c r="B408" s="52"/>
      <c r="C408" s="27" t="str">
        <f>IF('Lançamentos'!$B408&lt;&gt;"",YEAR('Lançamentos'!$B408)*100+MONTH(B408),"")</f>
        <v/>
      </c>
      <c r="D408" s="83"/>
      <c r="E408" s="40">
        <f t="array" ref="E408">IFERROR(_xlfn.XLOOKUP('Lançamentos'!$D408,Planilha1!$B$2:$B$35,Planilha1!$C$2:$C$35),0)</f>
        <v>0</v>
      </c>
      <c r="F408" s="84"/>
      <c r="G408" s="43" t="b">
        <v>0</v>
      </c>
      <c r="H408" s="45" t="str">
        <f>IF(AND('Análise'!$G$7="Pago",'Lançamentos'!$G408=TRUE),'Lançamentos'!$F408,IF(AND('Análise'!$G$7="Em Aberto",'Lançamentos'!$G408=FALSE),'Lançamentos'!$F408,IF('Análise'!$G$7="Todos",'Lançamentos'!$F408,0)))</f>
        <v/>
      </c>
    </row>
    <row r="409" ht="15.75" customHeight="1">
      <c r="B409" s="52"/>
      <c r="C409" s="27" t="str">
        <f>IF('Lançamentos'!$B409&lt;&gt;"",YEAR('Lançamentos'!$B409)*100+MONTH(B409),"")</f>
        <v/>
      </c>
      <c r="D409" s="83"/>
      <c r="E409" s="40">
        <f t="array" ref="E409">IFERROR(_xlfn.XLOOKUP('Lançamentos'!$D409,Planilha1!$B$2:$B$35,Planilha1!$C$2:$C$35),0)</f>
        <v>0</v>
      </c>
      <c r="F409" s="84"/>
      <c r="G409" s="43" t="b">
        <v>0</v>
      </c>
      <c r="H409" s="45" t="str">
        <f>IF(AND('Análise'!$G$7="Pago",'Lançamentos'!$G409=TRUE),'Lançamentos'!$F409,IF(AND('Análise'!$G$7="Em Aberto",'Lançamentos'!$G409=FALSE),'Lançamentos'!$F409,IF('Análise'!$G$7="Todos",'Lançamentos'!$F409,0)))</f>
        <v/>
      </c>
    </row>
    <row r="410" ht="15.75" customHeight="1">
      <c r="B410" s="52"/>
      <c r="C410" s="27" t="str">
        <f>IF('Lançamentos'!$B410&lt;&gt;"",YEAR('Lançamentos'!$B410)*100+MONTH(B410),"")</f>
        <v/>
      </c>
      <c r="D410" s="83"/>
      <c r="E410" s="40">
        <f t="array" ref="E410">IFERROR(_xlfn.XLOOKUP('Lançamentos'!$D410,Planilha1!$B$2:$B$35,Planilha1!$C$2:$C$35),0)</f>
        <v>0</v>
      </c>
      <c r="F410" s="84"/>
      <c r="G410" s="43" t="b">
        <v>0</v>
      </c>
      <c r="H410" s="45" t="str">
        <f>IF(AND('Análise'!$G$7="Pago",'Lançamentos'!$G410=TRUE),'Lançamentos'!$F410,IF(AND('Análise'!$G$7="Em Aberto",'Lançamentos'!$G410=FALSE),'Lançamentos'!$F410,IF('Análise'!$G$7="Todos",'Lançamentos'!$F410,0)))</f>
        <v/>
      </c>
    </row>
    <row r="411" ht="15.75" customHeight="1">
      <c r="B411" s="52"/>
      <c r="C411" s="27" t="str">
        <f>IF('Lançamentos'!$B411&lt;&gt;"",YEAR('Lançamentos'!$B411)*100+MONTH(B411),"")</f>
        <v/>
      </c>
      <c r="D411" s="83"/>
      <c r="E411" s="40">
        <f t="array" ref="E411">IFERROR(_xlfn.XLOOKUP('Lançamentos'!$D411,Planilha1!$B$2:$B$35,Planilha1!$C$2:$C$35),0)</f>
        <v>0</v>
      </c>
      <c r="F411" s="84"/>
      <c r="G411" s="43" t="b">
        <v>0</v>
      </c>
      <c r="H411" s="45" t="str">
        <f>IF(AND('Análise'!$G$7="Pago",'Lançamentos'!$G411=TRUE),'Lançamentos'!$F411,IF(AND('Análise'!$G$7="Em Aberto",'Lançamentos'!$G411=FALSE),'Lançamentos'!$F411,IF('Análise'!$G$7="Todos",'Lançamentos'!$F411,0)))</f>
        <v/>
      </c>
    </row>
    <row r="412" ht="15.75" customHeight="1">
      <c r="B412" s="52"/>
      <c r="C412" s="27" t="str">
        <f>IF('Lançamentos'!$B412&lt;&gt;"",YEAR('Lançamentos'!$B412)*100+MONTH(B412),"")</f>
        <v/>
      </c>
      <c r="D412" s="83"/>
      <c r="E412" s="40">
        <f t="array" ref="E412">IFERROR(_xlfn.XLOOKUP('Lançamentos'!$D412,Planilha1!$B$2:$B$35,Planilha1!$C$2:$C$35),0)</f>
        <v>0</v>
      </c>
      <c r="F412" s="84"/>
      <c r="G412" s="43" t="b">
        <v>0</v>
      </c>
      <c r="H412" s="45" t="str">
        <f>IF(AND('Análise'!$G$7="Pago",'Lançamentos'!$G412=TRUE),'Lançamentos'!$F412,IF(AND('Análise'!$G$7="Em Aberto",'Lançamentos'!$G412=FALSE),'Lançamentos'!$F412,IF('Análise'!$G$7="Todos",'Lançamentos'!$F412,0)))</f>
        <v/>
      </c>
    </row>
    <row r="413" ht="15.75" customHeight="1">
      <c r="B413" s="52"/>
      <c r="C413" s="27" t="str">
        <f>IF('Lançamentos'!$B413&lt;&gt;"",YEAR('Lançamentos'!$B413)*100+MONTH(B413),"")</f>
        <v/>
      </c>
      <c r="D413" s="83"/>
      <c r="E413" s="40">
        <f t="array" ref="E413">IFERROR(_xlfn.XLOOKUP('Lançamentos'!$D413,Planilha1!$B$2:$B$35,Planilha1!$C$2:$C$35),0)</f>
        <v>0</v>
      </c>
      <c r="F413" s="84"/>
      <c r="G413" s="43" t="b">
        <v>0</v>
      </c>
      <c r="H413" s="45" t="str">
        <f>IF(AND('Análise'!$G$7="Pago",'Lançamentos'!$G413=TRUE),'Lançamentos'!$F413,IF(AND('Análise'!$G$7="Em Aberto",'Lançamentos'!$G413=FALSE),'Lançamentos'!$F413,IF('Análise'!$G$7="Todos",'Lançamentos'!$F413,0)))</f>
        <v/>
      </c>
    </row>
    <row r="414" ht="15.75" customHeight="1">
      <c r="B414" s="52"/>
      <c r="C414" s="27" t="str">
        <f>IF('Lançamentos'!$B414&lt;&gt;"",YEAR('Lançamentos'!$B414)*100+MONTH(B414),"")</f>
        <v/>
      </c>
      <c r="D414" s="83"/>
      <c r="E414" s="40">
        <f t="array" ref="E414">IFERROR(_xlfn.XLOOKUP('Lançamentos'!$D414,Planilha1!$B$2:$B$35,Planilha1!$C$2:$C$35),0)</f>
        <v>0</v>
      </c>
      <c r="F414" s="84"/>
      <c r="G414" s="43" t="b">
        <v>0</v>
      </c>
      <c r="H414" s="45" t="str">
        <f>IF(AND('Análise'!$G$7="Pago",'Lançamentos'!$G414=TRUE),'Lançamentos'!$F414,IF(AND('Análise'!$G$7="Em Aberto",'Lançamentos'!$G414=FALSE),'Lançamentos'!$F414,IF('Análise'!$G$7="Todos",'Lançamentos'!$F414,0)))</f>
        <v/>
      </c>
    </row>
    <row r="415" ht="15.75" customHeight="1">
      <c r="B415" s="52"/>
      <c r="C415" s="27" t="str">
        <f>IF('Lançamentos'!$B415&lt;&gt;"",YEAR('Lançamentos'!$B415)*100+MONTH(B415),"")</f>
        <v/>
      </c>
      <c r="D415" s="83"/>
      <c r="E415" s="40">
        <f t="array" ref="E415">IFERROR(_xlfn.XLOOKUP('Lançamentos'!$D415,Planilha1!$B$2:$B$35,Planilha1!$C$2:$C$35),0)</f>
        <v>0</v>
      </c>
      <c r="F415" s="84"/>
      <c r="G415" s="43" t="b">
        <v>0</v>
      </c>
      <c r="H415" s="45" t="str">
        <f>IF(AND('Análise'!$G$7="Pago",'Lançamentos'!$G415=TRUE),'Lançamentos'!$F415,IF(AND('Análise'!$G$7="Em Aberto",'Lançamentos'!$G415=FALSE),'Lançamentos'!$F415,IF('Análise'!$G$7="Todos",'Lançamentos'!$F415,0)))</f>
        <v/>
      </c>
    </row>
    <row r="416" ht="15.75" customHeight="1">
      <c r="B416" s="52"/>
      <c r="C416" s="27" t="str">
        <f>IF('Lançamentos'!$B416&lt;&gt;"",YEAR('Lançamentos'!$B416)*100+MONTH(B416),"")</f>
        <v/>
      </c>
      <c r="D416" s="83"/>
      <c r="E416" s="40">
        <f t="array" ref="E416">IFERROR(_xlfn.XLOOKUP('Lançamentos'!$D416,Planilha1!$B$2:$B$35,Planilha1!$C$2:$C$35),0)</f>
        <v>0</v>
      </c>
      <c r="F416" s="84"/>
      <c r="G416" s="43" t="b">
        <v>0</v>
      </c>
      <c r="H416" s="45" t="str">
        <f>IF(AND('Análise'!$G$7="Pago",'Lançamentos'!$G416=TRUE),'Lançamentos'!$F416,IF(AND('Análise'!$G$7="Em Aberto",'Lançamentos'!$G416=FALSE),'Lançamentos'!$F416,IF('Análise'!$G$7="Todos",'Lançamentos'!$F416,0)))</f>
        <v/>
      </c>
    </row>
    <row r="417" ht="15.75" customHeight="1">
      <c r="B417" s="52"/>
      <c r="C417" s="27" t="str">
        <f>IF('Lançamentos'!$B417&lt;&gt;"",YEAR('Lançamentos'!$B417)*100+MONTH(B417),"")</f>
        <v/>
      </c>
      <c r="D417" s="83"/>
      <c r="E417" s="40">
        <f t="array" ref="E417">IFERROR(_xlfn.XLOOKUP('Lançamentos'!$D417,Planilha1!$B$2:$B$35,Planilha1!$C$2:$C$35),0)</f>
        <v>0</v>
      </c>
      <c r="F417" s="84"/>
      <c r="G417" s="43" t="b">
        <v>0</v>
      </c>
      <c r="H417" s="45" t="str">
        <f>IF(AND('Análise'!$G$7="Pago",'Lançamentos'!$G417=TRUE),'Lançamentos'!$F417,IF(AND('Análise'!$G$7="Em Aberto",'Lançamentos'!$G417=FALSE),'Lançamentos'!$F417,IF('Análise'!$G$7="Todos",'Lançamentos'!$F417,0)))</f>
        <v/>
      </c>
    </row>
    <row r="418" ht="15.75" customHeight="1">
      <c r="B418" s="52"/>
      <c r="C418" s="27" t="str">
        <f>IF('Lançamentos'!$B418&lt;&gt;"",YEAR('Lançamentos'!$B418)*100+MONTH(B418),"")</f>
        <v/>
      </c>
      <c r="D418" s="83"/>
      <c r="E418" s="40">
        <f t="array" ref="E418">IFERROR(_xlfn.XLOOKUP('Lançamentos'!$D418,Planilha1!$B$2:$B$35,Planilha1!$C$2:$C$35),0)</f>
        <v>0</v>
      </c>
      <c r="F418" s="84"/>
      <c r="G418" s="43" t="b">
        <v>0</v>
      </c>
      <c r="H418" s="45" t="str">
        <f>IF(AND('Análise'!$G$7="Pago",'Lançamentos'!$G418=TRUE),'Lançamentos'!$F418,IF(AND('Análise'!$G$7="Em Aberto",'Lançamentos'!$G418=FALSE),'Lançamentos'!$F418,IF('Análise'!$G$7="Todos",'Lançamentos'!$F418,0)))</f>
        <v/>
      </c>
    </row>
    <row r="419" ht="15.75" customHeight="1">
      <c r="B419" s="52"/>
      <c r="C419" s="27" t="str">
        <f>IF('Lançamentos'!$B419&lt;&gt;"",YEAR('Lançamentos'!$B419)*100+MONTH(B419),"")</f>
        <v/>
      </c>
      <c r="D419" s="83"/>
      <c r="E419" s="40">
        <f t="array" ref="E419">IFERROR(_xlfn.XLOOKUP('Lançamentos'!$D419,Planilha1!$B$2:$B$35,Planilha1!$C$2:$C$35),0)</f>
        <v>0</v>
      </c>
      <c r="F419" s="84"/>
      <c r="G419" s="43" t="b">
        <v>0</v>
      </c>
      <c r="H419" s="45" t="str">
        <f>IF(AND('Análise'!$G$7="Pago",'Lançamentos'!$G419=TRUE),'Lançamentos'!$F419,IF(AND('Análise'!$G$7="Em Aberto",'Lançamentos'!$G419=FALSE),'Lançamentos'!$F419,IF('Análise'!$G$7="Todos",'Lançamentos'!$F419,0)))</f>
        <v/>
      </c>
    </row>
    <row r="420" ht="15.75" customHeight="1">
      <c r="B420" s="52"/>
      <c r="C420" s="27" t="str">
        <f>IF('Lançamentos'!$B420&lt;&gt;"",YEAR('Lançamentos'!$B420)*100+MONTH(B420),"")</f>
        <v/>
      </c>
      <c r="D420" s="83"/>
      <c r="E420" s="40">
        <f t="array" ref="E420">IFERROR(_xlfn.XLOOKUP('Lançamentos'!$D420,Planilha1!$B$2:$B$35,Planilha1!$C$2:$C$35),0)</f>
        <v>0</v>
      </c>
      <c r="F420" s="84"/>
      <c r="G420" s="43" t="b">
        <v>0</v>
      </c>
      <c r="H420" s="45" t="str">
        <f>IF(AND('Análise'!$G$7="Pago",'Lançamentos'!$G420=TRUE),'Lançamentos'!$F420,IF(AND('Análise'!$G$7="Em Aberto",'Lançamentos'!$G420=FALSE),'Lançamentos'!$F420,IF('Análise'!$G$7="Todos",'Lançamentos'!$F420,0)))</f>
        <v/>
      </c>
    </row>
    <row r="421" ht="15.75" customHeight="1">
      <c r="B421" s="52"/>
      <c r="C421" s="27" t="str">
        <f>IF('Lançamentos'!$B421&lt;&gt;"",YEAR('Lançamentos'!$B421)*100+MONTH(B421),"")</f>
        <v/>
      </c>
      <c r="D421" s="83"/>
      <c r="E421" s="40">
        <f t="array" ref="E421">IFERROR(_xlfn.XLOOKUP('Lançamentos'!$D421,Planilha1!$B$2:$B$35,Planilha1!$C$2:$C$35),0)</f>
        <v>0</v>
      </c>
      <c r="F421" s="84"/>
      <c r="G421" s="43" t="b">
        <v>0</v>
      </c>
      <c r="H421" s="45" t="str">
        <f>IF(AND('Análise'!$G$7="Pago",'Lançamentos'!$G421=TRUE),'Lançamentos'!$F421,IF(AND('Análise'!$G$7="Em Aberto",'Lançamentos'!$G421=FALSE),'Lançamentos'!$F421,IF('Análise'!$G$7="Todos",'Lançamentos'!$F421,0)))</f>
        <v/>
      </c>
    </row>
    <row r="422" ht="15.75" customHeight="1">
      <c r="B422" s="52"/>
      <c r="C422" s="27" t="str">
        <f>IF('Lançamentos'!$B422&lt;&gt;"",YEAR('Lançamentos'!$B422)*100+MONTH(B422),"")</f>
        <v/>
      </c>
      <c r="D422" s="83"/>
      <c r="E422" s="40">
        <f t="array" ref="E422">IFERROR(_xlfn.XLOOKUP('Lançamentos'!$D422,Planilha1!$B$2:$B$35,Planilha1!$C$2:$C$35),0)</f>
        <v>0</v>
      </c>
      <c r="F422" s="84"/>
      <c r="G422" s="43" t="b">
        <v>0</v>
      </c>
      <c r="H422" s="45" t="str">
        <f>IF(AND('Análise'!$G$7="Pago",'Lançamentos'!$G422=TRUE),'Lançamentos'!$F422,IF(AND('Análise'!$G$7="Em Aberto",'Lançamentos'!$G422=FALSE),'Lançamentos'!$F422,IF('Análise'!$G$7="Todos",'Lançamentos'!$F422,0)))</f>
        <v/>
      </c>
    </row>
    <row r="423" ht="15.75" customHeight="1">
      <c r="B423" s="52"/>
      <c r="C423" s="27" t="str">
        <f>IF('Lançamentos'!$B423&lt;&gt;"",YEAR('Lançamentos'!$B423)*100+MONTH(B423),"")</f>
        <v/>
      </c>
      <c r="D423" s="83"/>
      <c r="E423" s="40">
        <f t="array" ref="E423">IFERROR(_xlfn.XLOOKUP('Lançamentos'!$D423,Planilha1!$B$2:$B$35,Planilha1!$C$2:$C$35),0)</f>
        <v>0</v>
      </c>
      <c r="F423" s="84"/>
      <c r="G423" s="43" t="b">
        <v>0</v>
      </c>
      <c r="H423" s="45" t="str">
        <f>IF(AND('Análise'!$G$7="Pago",'Lançamentos'!$G423=TRUE),'Lançamentos'!$F423,IF(AND('Análise'!$G$7="Em Aberto",'Lançamentos'!$G423=FALSE),'Lançamentos'!$F423,IF('Análise'!$G$7="Todos",'Lançamentos'!$F423,0)))</f>
        <v/>
      </c>
    </row>
    <row r="424" ht="15.75" customHeight="1">
      <c r="B424" s="52"/>
      <c r="C424" s="27" t="str">
        <f>IF('Lançamentos'!$B424&lt;&gt;"",YEAR('Lançamentos'!$B424)*100+MONTH(B424),"")</f>
        <v/>
      </c>
      <c r="D424" s="83"/>
      <c r="E424" s="40">
        <f t="array" ref="E424">IFERROR(_xlfn.XLOOKUP('Lançamentos'!$D424,Planilha1!$B$2:$B$35,Planilha1!$C$2:$C$35),0)</f>
        <v>0</v>
      </c>
      <c r="F424" s="84"/>
      <c r="G424" s="43" t="b">
        <v>0</v>
      </c>
      <c r="H424" s="45" t="str">
        <f>IF(AND('Análise'!$G$7="Pago",'Lançamentos'!$G424=TRUE),'Lançamentos'!$F424,IF(AND('Análise'!$G$7="Em Aberto",'Lançamentos'!$G424=FALSE),'Lançamentos'!$F424,IF('Análise'!$G$7="Todos",'Lançamentos'!$F424,0)))</f>
        <v/>
      </c>
    </row>
    <row r="425" ht="15.75" customHeight="1">
      <c r="B425" s="52"/>
      <c r="C425" s="27" t="str">
        <f>IF('Lançamentos'!$B425&lt;&gt;"",YEAR('Lançamentos'!$B425)*100+MONTH(B425),"")</f>
        <v/>
      </c>
      <c r="D425" s="83"/>
      <c r="E425" s="40">
        <f t="array" ref="E425">IFERROR(_xlfn.XLOOKUP('Lançamentos'!$D425,Planilha1!$B$2:$B$35,Planilha1!$C$2:$C$35),0)</f>
        <v>0</v>
      </c>
      <c r="F425" s="84"/>
      <c r="G425" s="43" t="b">
        <v>0</v>
      </c>
      <c r="H425" s="45" t="str">
        <f>IF(AND('Análise'!$G$7="Pago",'Lançamentos'!$G425=TRUE),'Lançamentos'!$F425,IF(AND('Análise'!$G$7="Em Aberto",'Lançamentos'!$G425=FALSE),'Lançamentos'!$F425,IF('Análise'!$G$7="Todos",'Lançamentos'!$F425,0)))</f>
        <v/>
      </c>
    </row>
    <row r="426" ht="15.75" customHeight="1">
      <c r="B426" s="52"/>
      <c r="C426" s="27" t="str">
        <f>IF('Lançamentos'!$B426&lt;&gt;"",YEAR('Lançamentos'!$B426)*100+MONTH(B426),"")</f>
        <v/>
      </c>
      <c r="D426" s="83"/>
      <c r="E426" s="40">
        <f t="array" ref="E426">IFERROR(_xlfn.XLOOKUP('Lançamentos'!$D426,Planilha1!$B$2:$B$35,Planilha1!$C$2:$C$35),0)</f>
        <v>0</v>
      </c>
      <c r="F426" s="84"/>
      <c r="G426" s="43" t="b">
        <v>0</v>
      </c>
      <c r="H426" s="45" t="str">
        <f>IF(AND('Análise'!$G$7="Pago",'Lançamentos'!$G426=TRUE),'Lançamentos'!$F426,IF(AND('Análise'!$G$7="Em Aberto",'Lançamentos'!$G426=FALSE),'Lançamentos'!$F426,IF('Análise'!$G$7="Todos",'Lançamentos'!$F426,0)))</f>
        <v/>
      </c>
    </row>
    <row r="427" ht="15.75" customHeight="1">
      <c r="B427" s="52"/>
      <c r="C427" s="27" t="str">
        <f>IF('Lançamentos'!$B427&lt;&gt;"",YEAR('Lançamentos'!$B427)*100+MONTH(B427),"")</f>
        <v/>
      </c>
      <c r="D427" s="83"/>
      <c r="E427" s="40">
        <f t="array" ref="E427">IFERROR(_xlfn.XLOOKUP('Lançamentos'!$D427,Planilha1!$B$2:$B$35,Planilha1!$C$2:$C$35),0)</f>
        <v>0</v>
      </c>
      <c r="F427" s="84"/>
      <c r="G427" s="43" t="b">
        <v>0</v>
      </c>
      <c r="H427" s="45" t="str">
        <f>IF(AND('Análise'!$G$7="Pago",'Lançamentos'!$G427=TRUE),'Lançamentos'!$F427,IF(AND('Análise'!$G$7="Em Aberto",'Lançamentos'!$G427=FALSE),'Lançamentos'!$F427,IF('Análise'!$G$7="Todos",'Lançamentos'!$F427,0)))</f>
        <v/>
      </c>
    </row>
    <row r="428" ht="15.75" customHeight="1">
      <c r="B428" s="52"/>
      <c r="C428" s="27" t="str">
        <f>IF('Lançamentos'!$B428&lt;&gt;"",YEAR('Lançamentos'!$B428)*100+MONTH(B428),"")</f>
        <v/>
      </c>
      <c r="D428" s="83"/>
      <c r="E428" s="40">
        <f t="array" ref="E428">IFERROR(_xlfn.XLOOKUP('Lançamentos'!$D428,Planilha1!$B$2:$B$35,Planilha1!$C$2:$C$35),0)</f>
        <v>0</v>
      </c>
      <c r="F428" s="84"/>
      <c r="G428" s="43" t="b">
        <v>0</v>
      </c>
      <c r="H428" s="45" t="str">
        <f>IF(AND('Análise'!$G$7="Pago",'Lançamentos'!$G428=TRUE),'Lançamentos'!$F428,IF(AND('Análise'!$G$7="Em Aberto",'Lançamentos'!$G428=FALSE),'Lançamentos'!$F428,IF('Análise'!$G$7="Todos",'Lançamentos'!$F428,0)))</f>
        <v/>
      </c>
    </row>
    <row r="429" ht="15.75" customHeight="1">
      <c r="B429" s="52"/>
      <c r="C429" s="27" t="str">
        <f>IF('Lançamentos'!$B429&lt;&gt;"",YEAR('Lançamentos'!$B429)*100+MONTH(B429),"")</f>
        <v/>
      </c>
      <c r="D429" s="83"/>
      <c r="E429" s="40">
        <f t="array" ref="E429">IFERROR(_xlfn.XLOOKUP('Lançamentos'!$D429,Planilha1!$B$2:$B$35,Planilha1!$C$2:$C$35),0)</f>
        <v>0</v>
      </c>
      <c r="F429" s="84"/>
      <c r="G429" s="43" t="b">
        <v>0</v>
      </c>
      <c r="H429" s="45" t="str">
        <f>IF(AND('Análise'!$G$7="Pago",'Lançamentos'!$G429=TRUE),'Lançamentos'!$F429,IF(AND('Análise'!$G$7="Em Aberto",'Lançamentos'!$G429=FALSE),'Lançamentos'!$F429,IF('Análise'!$G$7="Todos",'Lançamentos'!$F429,0)))</f>
        <v/>
      </c>
    </row>
    <row r="430" ht="15.75" customHeight="1">
      <c r="B430" s="52"/>
      <c r="C430" s="27" t="str">
        <f>IF('Lançamentos'!$B430&lt;&gt;"",YEAR('Lançamentos'!$B430)*100+MONTH(B430),"")</f>
        <v/>
      </c>
      <c r="D430" s="83"/>
      <c r="E430" s="40">
        <f t="array" ref="E430">IFERROR(_xlfn.XLOOKUP('Lançamentos'!$D430,Planilha1!$B$2:$B$35,Planilha1!$C$2:$C$35),0)</f>
        <v>0</v>
      </c>
      <c r="F430" s="84"/>
      <c r="G430" s="43" t="b">
        <v>0</v>
      </c>
      <c r="H430" s="45" t="str">
        <f>IF(AND('Análise'!$G$7="Pago",'Lançamentos'!$G430=TRUE),'Lançamentos'!$F430,IF(AND('Análise'!$G$7="Em Aberto",'Lançamentos'!$G430=FALSE),'Lançamentos'!$F430,IF('Análise'!$G$7="Todos",'Lançamentos'!$F430,0)))</f>
        <v/>
      </c>
    </row>
    <row r="431" ht="15.75" customHeight="1">
      <c r="B431" s="52"/>
      <c r="C431" s="27" t="str">
        <f>IF('Lançamentos'!$B431&lt;&gt;"",YEAR('Lançamentos'!$B431)*100+MONTH(B431),"")</f>
        <v/>
      </c>
      <c r="D431" s="83"/>
      <c r="E431" s="40">
        <f t="array" ref="E431">IFERROR(_xlfn.XLOOKUP('Lançamentos'!$D431,Planilha1!$B$2:$B$35,Planilha1!$C$2:$C$35),0)</f>
        <v>0</v>
      </c>
      <c r="F431" s="84"/>
      <c r="G431" s="43" t="b">
        <v>0</v>
      </c>
      <c r="H431" s="45" t="str">
        <f>IF(AND('Análise'!$G$7="Pago",'Lançamentos'!$G431=TRUE),'Lançamentos'!$F431,IF(AND('Análise'!$G$7="Em Aberto",'Lançamentos'!$G431=FALSE),'Lançamentos'!$F431,IF('Análise'!$G$7="Todos",'Lançamentos'!$F431,0)))</f>
        <v/>
      </c>
    </row>
    <row r="432" ht="15.75" customHeight="1">
      <c r="B432" s="52"/>
      <c r="C432" s="27" t="str">
        <f>IF('Lançamentos'!$B432&lt;&gt;"",YEAR('Lançamentos'!$B432)*100+MONTH(B432),"")</f>
        <v/>
      </c>
      <c r="D432" s="83"/>
      <c r="E432" s="40">
        <f t="array" ref="E432">IFERROR(_xlfn.XLOOKUP('Lançamentos'!$D432,Planilha1!$B$2:$B$35,Planilha1!$C$2:$C$35),0)</f>
        <v>0</v>
      </c>
      <c r="F432" s="84"/>
      <c r="G432" s="43" t="b">
        <v>0</v>
      </c>
      <c r="H432" s="45" t="str">
        <f>IF(AND('Análise'!$G$7="Pago",'Lançamentos'!$G432=TRUE),'Lançamentos'!$F432,IF(AND('Análise'!$G$7="Em Aberto",'Lançamentos'!$G432=FALSE),'Lançamentos'!$F432,IF('Análise'!$G$7="Todos",'Lançamentos'!$F432,0)))</f>
        <v/>
      </c>
    </row>
    <row r="433" ht="15.75" customHeight="1">
      <c r="B433" s="52"/>
      <c r="C433" s="27" t="str">
        <f>IF('Lançamentos'!$B433&lt;&gt;"",YEAR('Lançamentos'!$B433)*100+MONTH(B433),"")</f>
        <v/>
      </c>
      <c r="D433" s="83"/>
      <c r="E433" s="40">
        <f t="array" ref="E433">IFERROR(_xlfn.XLOOKUP('Lançamentos'!$D433,Planilha1!$B$2:$B$35,Planilha1!$C$2:$C$35),0)</f>
        <v>0</v>
      </c>
      <c r="F433" s="84"/>
      <c r="G433" s="43" t="b">
        <v>0</v>
      </c>
      <c r="H433" s="45" t="str">
        <f>IF(AND('Análise'!$G$7="Pago",'Lançamentos'!$G433=TRUE),'Lançamentos'!$F433,IF(AND('Análise'!$G$7="Em Aberto",'Lançamentos'!$G433=FALSE),'Lançamentos'!$F433,IF('Análise'!$G$7="Todos",'Lançamentos'!$F433,0)))</f>
        <v/>
      </c>
    </row>
    <row r="434" ht="15.75" customHeight="1">
      <c r="B434" s="52"/>
      <c r="C434" s="27" t="str">
        <f>IF('Lançamentos'!$B434&lt;&gt;"",YEAR('Lançamentos'!$B434)*100+MONTH(B434),"")</f>
        <v/>
      </c>
      <c r="D434" s="83"/>
      <c r="E434" s="40">
        <f t="array" ref="E434">IFERROR(_xlfn.XLOOKUP('Lançamentos'!$D434,Planilha1!$B$2:$B$35,Planilha1!$C$2:$C$35),0)</f>
        <v>0</v>
      </c>
      <c r="F434" s="84"/>
      <c r="G434" s="43" t="b">
        <v>0</v>
      </c>
      <c r="H434" s="45" t="str">
        <f>IF(AND('Análise'!$G$7="Pago",'Lançamentos'!$G434=TRUE),'Lançamentos'!$F434,IF(AND('Análise'!$G$7="Em Aberto",'Lançamentos'!$G434=FALSE),'Lançamentos'!$F434,IF('Análise'!$G$7="Todos",'Lançamentos'!$F434,0)))</f>
        <v/>
      </c>
    </row>
    <row r="435" ht="15.75" customHeight="1">
      <c r="B435" s="52"/>
      <c r="C435" s="27" t="str">
        <f>IF('Lançamentos'!$B435&lt;&gt;"",YEAR('Lançamentos'!$B435)*100+MONTH(B435),"")</f>
        <v/>
      </c>
      <c r="D435" s="83"/>
      <c r="E435" s="40">
        <f t="array" ref="E435">IFERROR(_xlfn.XLOOKUP('Lançamentos'!$D435,Planilha1!$B$2:$B$35,Planilha1!$C$2:$C$35),0)</f>
        <v>0</v>
      </c>
      <c r="F435" s="84"/>
      <c r="G435" s="43" t="b">
        <v>0</v>
      </c>
      <c r="H435" s="45" t="str">
        <f>IF(AND('Análise'!$G$7="Pago",'Lançamentos'!$G435=TRUE),'Lançamentos'!$F435,IF(AND('Análise'!$G$7="Em Aberto",'Lançamentos'!$G435=FALSE),'Lançamentos'!$F435,IF('Análise'!$G$7="Todos",'Lançamentos'!$F435,0)))</f>
        <v/>
      </c>
    </row>
    <row r="436" ht="15.75" customHeight="1">
      <c r="B436" s="52"/>
      <c r="C436" s="27" t="str">
        <f>IF('Lançamentos'!$B436&lt;&gt;"",YEAR('Lançamentos'!$B436)*100+MONTH(B436),"")</f>
        <v/>
      </c>
      <c r="D436" s="83"/>
      <c r="E436" s="40">
        <f t="array" ref="E436">IFERROR(_xlfn.XLOOKUP('Lançamentos'!$D436,Planilha1!$B$2:$B$35,Planilha1!$C$2:$C$35),0)</f>
        <v>0</v>
      </c>
      <c r="F436" s="84"/>
      <c r="G436" s="43" t="b">
        <v>0</v>
      </c>
      <c r="H436" s="45" t="str">
        <f>IF(AND('Análise'!$G$7="Pago",'Lançamentos'!$G436=TRUE),'Lançamentos'!$F436,IF(AND('Análise'!$G$7="Em Aberto",'Lançamentos'!$G436=FALSE),'Lançamentos'!$F436,IF('Análise'!$G$7="Todos",'Lançamentos'!$F436,0)))</f>
        <v/>
      </c>
    </row>
    <row r="437" ht="15.75" customHeight="1">
      <c r="B437" s="52"/>
      <c r="C437" s="27" t="str">
        <f>IF('Lançamentos'!$B437&lt;&gt;"",YEAR('Lançamentos'!$B437)*100+MONTH(B437),"")</f>
        <v/>
      </c>
      <c r="D437" s="83"/>
      <c r="E437" s="40">
        <f t="array" ref="E437">IFERROR(_xlfn.XLOOKUP('Lançamentos'!$D437,Planilha1!$B$2:$B$35,Planilha1!$C$2:$C$35),0)</f>
        <v>0</v>
      </c>
      <c r="F437" s="84"/>
      <c r="G437" s="43" t="b">
        <v>0</v>
      </c>
      <c r="H437" s="45" t="str">
        <f>IF(AND('Análise'!$G$7="Pago",'Lançamentos'!$G437=TRUE),'Lançamentos'!$F437,IF(AND('Análise'!$G$7="Em Aberto",'Lançamentos'!$G437=FALSE),'Lançamentos'!$F437,IF('Análise'!$G$7="Todos",'Lançamentos'!$F437,0)))</f>
        <v/>
      </c>
    </row>
    <row r="438" ht="15.75" customHeight="1">
      <c r="B438" s="52"/>
      <c r="C438" s="27" t="str">
        <f>IF('Lançamentos'!$B438&lt;&gt;"",YEAR('Lançamentos'!$B438)*100+MONTH(B438),"")</f>
        <v/>
      </c>
      <c r="D438" s="83"/>
      <c r="E438" s="40">
        <f t="array" ref="E438">IFERROR(_xlfn.XLOOKUP('Lançamentos'!$D438,Planilha1!$B$2:$B$35,Planilha1!$C$2:$C$35),0)</f>
        <v>0</v>
      </c>
      <c r="F438" s="84"/>
      <c r="G438" s="43" t="b">
        <v>0</v>
      </c>
      <c r="H438" s="45" t="str">
        <f>IF(AND('Análise'!$G$7="Pago",'Lançamentos'!$G438=TRUE),'Lançamentos'!$F438,IF(AND('Análise'!$G$7="Em Aberto",'Lançamentos'!$G438=FALSE),'Lançamentos'!$F438,IF('Análise'!$G$7="Todos",'Lançamentos'!$F438,0)))</f>
        <v/>
      </c>
    </row>
    <row r="439" ht="15.75" customHeight="1">
      <c r="B439" s="52"/>
      <c r="C439" s="27" t="str">
        <f>IF('Lançamentos'!$B439&lt;&gt;"",YEAR('Lançamentos'!$B439)*100+MONTH(B439),"")</f>
        <v/>
      </c>
      <c r="D439" s="83"/>
      <c r="E439" s="40">
        <f t="array" ref="E439">IFERROR(_xlfn.XLOOKUP('Lançamentos'!$D439,Planilha1!$B$2:$B$35,Planilha1!$C$2:$C$35),0)</f>
        <v>0</v>
      </c>
      <c r="F439" s="84"/>
      <c r="G439" s="43" t="b">
        <v>0</v>
      </c>
      <c r="H439" s="45" t="str">
        <f>IF(AND('Análise'!$G$7="Pago",'Lançamentos'!$G439=TRUE),'Lançamentos'!$F439,IF(AND('Análise'!$G$7="Em Aberto",'Lançamentos'!$G439=FALSE),'Lançamentos'!$F439,IF('Análise'!$G$7="Todos",'Lançamentos'!$F439,0)))</f>
        <v/>
      </c>
    </row>
    <row r="440" ht="15.75" customHeight="1">
      <c r="B440" s="52"/>
      <c r="C440" s="27" t="str">
        <f>IF('Lançamentos'!$B440&lt;&gt;"",YEAR('Lançamentos'!$B440)*100+MONTH(B440),"")</f>
        <v/>
      </c>
      <c r="D440" s="83"/>
      <c r="E440" s="40">
        <f t="array" ref="E440">IFERROR(_xlfn.XLOOKUP('Lançamentos'!$D440,Planilha1!$B$2:$B$35,Planilha1!$C$2:$C$35),0)</f>
        <v>0</v>
      </c>
      <c r="F440" s="84"/>
      <c r="G440" s="43" t="b">
        <v>0</v>
      </c>
      <c r="H440" s="45" t="str">
        <f>IF(AND('Análise'!$G$7="Pago",'Lançamentos'!$G440=TRUE),'Lançamentos'!$F440,IF(AND('Análise'!$G$7="Em Aberto",'Lançamentos'!$G440=FALSE),'Lançamentos'!$F440,IF('Análise'!$G$7="Todos",'Lançamentos'!$F440,0)))</f>
        <v/>
      </c>
    </row>
    <row r="441" ht="15.75" customHeight="1">
      <c r="B441" s="52"/>
      <c r="C441" s="27" t="str">
        <f>IF('Lançamentos'!$B441&lt;&gt;"",YEAR('Lançamentos'!$B441)*100+MONTH(B441),"")</f>
        <v/>
      </c>
      <c r="D441" s="83"/>
      <c r="E441" s="40">
        <f t="array" ref="E441">IFERROR(_xlfn.XLOOKUP('Lançamentos'!$D441,Planilha1!$B$2:$B$35,Planilha1!$C$2:$C$35),0)</f>
        <v>0</v>
      </c>
      <c r="F441" s="84"/>
      <c r="G441" s="43" t="b">
        <v>0</v>
      </c>
      <c r="H441" s="45" t="str">
        <f>IF(AND('Análise'!$G$7="Pago",'Lançamentos'!$G441=TRUE),'Lançamentos'!$F441,IF(AND('Análise'!$G$7="Em Aberto",'Lançamentos'!$G441=FALSE),'Lançamentos'!$F441,IF('Análise'!$G$7="Todos",'Lançamentos'!$F441,0)))</f>
        <v/>
      </c>
    </row>
    <row r="442" ht="15.75" customHeight="1">
      <c r="B442" s="52"/>
      <c r="C442" s="27" t="str">
        <f>IF('Lançamentos'!$B442&lt;&gt;"",YEAR('Lançamentos'!$B442)*100+MONTH(B442),"")</f>
        <v/>
      </c>
      <c r="D442" s="83"/>
      <c r="E442" s="40">
        <f t="array" ref="E442">IFERROR(_xlfn.XLOOKUP('Lançamentos'!$D442,Planilha1!$B$2:$B$35,Planilha1!$C$2:$C$35),0)</f>
        <v>0</v>
      </c>
      <c r="F442" s="84"/>
      <c r="G442" s="43" t="b">
        <v>0</v>
      </c>
      <c r="H442" s="45" t="str">
        <f>IF(AND('Análise'!$G$7="Pago",'Lançamentos'!$G442=TRUE),'Lançamentos'!$F442,IF(AND('Análise'!$G$7="Em Aberto",'Lançamentos'!$G442=FALSE),'Lançamentos'!$F442,IF('Análise'!$G$7="Todos",'Lançamentos'!$F442,0)))</f>
        <v/>
      </c>
    </row>
    <row r="443" ht="15.75" customHeight="1">
      <c r="B443" s="52"/>
      <c r="C443" s="27" t="str">
        <f>IF('Lançamentos'!$B443&lt;&gt;"",YEAR('Lançamentos'!$B443)*100+MONTH(B443),"")</f>
        <v/>
      </c>
      <c r="D443" s="83"/>
      <c r="E443" s="40">
        <f t="array" ref="E443">IFERROR(_xlfn.XLOOKUP('Lançamentos'!$D443,Planilha1!$B$2:$B$35,Planilha1!$C$2:$C$35),0)</f>
        <v>0</v>
      </c>
      <c r="F443" s="84"/>
      <c r="G443" s="43" t="b">
        <v>0</v>
      </c>
      <c r="H443" s="45" t="str">
        <f>IF(AND('Análise'!$G$7="Pago",'Lançamentos'!$G443=TRUE),'Lançamentos'!$F443,IF(AND('Análise'!$G$7="Em Aberto",'Lançamentos'!$G443=FALSE),'Lançamentos'!$F443,IF('Análise'!$G$7="Todos",'Lançamentos'!$F443,0)))</f>
        <v/>
      </c>
    </row>
    <row r="444" ht="15.75" customHeight="1">
      <c r="B444" s="52"/>
      <c r="C444" s="27" t="str">
        <f>IF('Lançamentos'!$B444&lt;&gt;"",YEAR('Lançamentos'!$B444)*100+MONTH(B444),"")</f>
        <v/>
      </c>
      <c r="D444" s="83"/>
      <c r="E444" s="40">
        <f t="array" ref="E444">IFERROR(_xlfn.XLOOKUP('Lançamentos'!$D444,Planilha1!$B$2:$B$35,Planilha1!$C$2:$C$35),0)</f>
        <v>0</v>
      </c>
      <c r="F444" s="84"/>
      <c r="G444" s="43" t="b">
        <v>0</v>
      </c>
      <c r="H444" s="45" t="str">
        <f>IF(AND('Análise'!$G$7="Pago",'Lançamentos'!$G444=TRUE),'Lançamentos'!$F444,IF(AND('Análise'!$G$7="Em Aberto",'Lançamentos'!$G444=FALSE),'Lançamentos'!$F444,IF('Análise'!$G$7="Todos",'Lançamentos'!$F444,0)))</f>
        <v/>
      </c>
    </row>
    <row r="445" ht="15.75" customHeight="1">
      <c r="B445" s="52"/>
      <c r="C445" s="27" t="str">
        <f>IF('Lançamentos'!$B445&lt;&gt;"",YEAR('Lançamentos'!$B445)*100+MONTH(B445),"")</f>
        <v/>
      </c>
      <c r="D445" s="83"/>
      <c r="E445" s="40">
        <f t="array" ref="E445">IFERROR(_xlfn.XLOOKUP('Lançamentos'!$D445,Planilha1!$B$2:$B$35,Planilha1!$C$2:$C$35),0)</f>
        <v>0</v>
      </c>
      <c r="F445" s="84"/>
      <c r="G445" s="43" t="b">
        <v>0</v>
      </c>
      <c r="H445" s="45" t="str">
        <f>IF(AND('Análise'!$G$7="Pago",'Lançamentos'!$G445=TRUE),'Lançamentos'!$F445,IF(AND('Análise'!$G$7="Em Aberto",'Lançamentos'!$G445=FALSE),'Lançamentos'!$F445,IF('Análise'!$G$7="Todos",'Lançamentos'!$F445,0)))</f>
        <v/>
      </c>
    </row>
    <row r="446" ht="15.75" customHeight="1">
      <c r="B446" s="52"/>
      <c r="C446" s="27" t="str">
        <f>IF('Lançamentos'!$B446&lt;&gt;"",YEAR('Lançamentos'!$B446)*100+MONTH(B446),"")</f>
        <v/>
      </c>
      <c r="D446" s="83"/>
      <c r="E446" s="40">
        <f t="array" ref="E446">IFERROR(_xlfn.XLOOKUP('Lançamentos'!$D446,Planilha1!$B$2:$B$35,Planilha1!$C$2:$C$35),0)</f>
        <v>0</v>
      </c>
      <c r="F446" s="84"/>
      <c r="G446" s="43" t="b">
        <v>0</v>
      </c>
      <c r="H446" s="45" t="str">
        <f>IF(AND('Análise'!$G$7="Pago",'Lançamentos'!$G446=TRUE),'Lançamentos'!$F446,IF(AND('Análise'!$G$7="Em Aberto",'Lançamentos'!$G446=FALSE),'Lançamentos'!$F446,IF('Análise'!$G$7="Todos",'Lançamentos'!$F446,0)))</f>
        <v/>
      </c>
    </row>
    <row r="447" ht="15.75" customHeight="1">
      <c r="B447" s="52"/>
      <c r="C447" s="27" t="str">
        <f>IF('Lançamentos'!$B447&lt;&gt;"",YEAR('Lançamentos'!$B447)*100+MONTH(B447),"")</f>
        <v/>
      </c>
      <c r="D447" s="83"/>
      <c r="E447" s="40">
        <f t="array" ref="E447">IFERROR(_xlfn.XLOOKUP('Lançamentos'!$D447,Planilha1!$B$2:$B$35,Planilha1!$C$2:$C$35),0)</f>
        <v>0</v>
      </c>
      <c r="F447" s="84"/>
      <c r="G447" s="43" t="b">
        <v>0</v>
      </c>
      <c r="H447" s="45" t="str">
        <f>IF(AND('Análise'!$G$7="Pago",'Lançamentos'!$G447=TRUE),'Lançamentos'!$F447,IF(AND('Análise'!$G$7="Em Aberto",'Lançamentos'!$G447=FALSE),'Lançamentos'!$F447,IF('Análise'!$G$7="Todos",'Lançamentos'!$F447,0)))</f>
        <v/>
      </c>
    </row>
    <row r="448" ht="15.75" customHeight="1">
      <c r="B448" s="52"/>
      <c r="C448" s="27" t="str">
        <f>IF('Lançamentos'!$B448&lt;&gt;"",YEAR('Lançamentos'!$B448)*100+MONTH(B448),"")</f>
        <v/>
      </c>
      <c r="D448" s="83"/>
      <c r="E448" s="40">
        <f t="array" ref="E448">IFERROR(_xlfn.XLOOKUP('Lançamentos'!$D448,Planilha1!$B$2:$B$35,Planilha1!$C$2:$C$35),0)</f>
        <v>0</v>
      </c>
      <c r="F448" s="84"/>
      <c r="G448" s="43" t="b">
        <v>0</v>
      </c>
      <c r="H448" s="45" t="str">
        <f>IF(AND('Análise'!$G$7="Pago",'Lançamentos'!$G448=TRUE),'Lançamentos'!$F448,IF(AND('Análise'!$G$7="Em Aberto",'Lançamentos'!$G448=FALSE),'Lançamentos'!$F448,IF('Análise'!$G$7="Todos",'Lançamentos'!$F448,0)))</f>
        <v/>
      </c>
    </row>
    <row r="449" ht="15.75" customHeight="1">
      <c r="B449" s="52"/>
      <c r="C449" s="27" t="str">
        <f>IF('Lançamentos'!$B449&lt;&gt;"",YEAR('Lançamentos'!$B449)*100+MONTH(B449),"")</f>
        <v/>
      </c>
      <c r="D449" s="83"/>
      <c r="E449" s="40">
        <f t="array" ref="E449">IFERROR(_xlfn.XLOOKUP('Lançamentos'!$D449,Planilha1!$B$2:$B$35,Planilha1!$C$2:$C$35),0)</f>
        <v>0</v>
      </c>
      <c r="F449" s="84"/>
      <c r="G449" s="43" t="b">
        <v>0</v>
      </c>
      <c r="H449" s="45" t="str">
        <f>IF(AND('Análise'!$G$7="Pago",'Lançamentos'!$G449=TRUE),'Lançamentos'!$F449,IF(AND('Análise'!$G$7="Em Aberto",'Lançamentos'!$G449=FALSE),'Lançamentos'!$F449,IF('Análise'!$G$7="Todos",'Lançamentos'!$F449,0)))</f>
        <v/>
      </c>
    </row>
    <row r="450" ht="15.75" customHeight="1">
      <c r="B450" s="52"/>
      <c r="C450" s="27" t="str">
        <f>IF('Lançamentos'!$B450&lt;&gt;"",YEAR('Lançamentos'!$B450)*100+MONTH(B450),"")</f>
        <v/>
      </c>
      <c r="D450" s="83"/>
      <c r="E450" s="40">
        <f t="array" ref="E450">IFERROR(_xlfn.XLOOKUP('Lançamentos'!$D450,Planilha1!$B$2:$B$35,Planilha1!$C$2:$C$35),0)</f>
        <v>0</v>
      </c>
      <c r="F450" s="84"/>
      <c r="G450" s="43" t="b">
        <v>0</v>
      </c>
      <c r="H450" s="45" t="str">
        <f>IF(AND('Análise'!$G$7="Pago",'Lançamentos'!$G450=TRUE),'Lançamentos'!$F450,IF(AND('Análise'!$G$7="Em Aberto",'Lançamentos'!$G450=FALSE),'Lançamentos'!$F450,IF('Análise'!$G$7="Todos",'Lançamentos'!$F450,0)))</f>
        <v/>
      </c>
    </row>
    <row r="451" ht="15.75" customHeight="1">
      <c r="B451" s="52"/>
      <c r="C451" s="27" t="str">
        <f>IF('Lançamentos'!$B451&lt;&gt;"",YEAR('Lançamentos'!$B451)*100+MONTH(B451),"")</f>
        <v/>
      </c>
      <c r="D451" s="83"/>
      <c r="E451" s="40">
        <f t="array" ref="E451">IFERROR(_xlfn.XLOOKUP('Lançamentos'!$D451,Planilha1!$B$2:$B$35,Planilha1!$C$2:$C$35),0)</f>
        <v>0</v>
      </c>
      <c r="F451" s="84"/>
      <c r="G451" s="43" t="b">
        <v>0</v>
      </c>
      <c r="H451" s="45" t="str">
        <f>IF(AND('Análise'!$G$7="Pago",'Lançamentos'!$G451=TRUE),'Lançamentos'!$F451,IF(AND('Análise'!$G$7="Em Aberto",'Lançamentos'!$G451=FALSE),'Lançamentos'!$F451,IF('Análise'!$G$7="Todos",'Lançamentos'!$F451,0)))</f>
        <v/>
      </c>
    </row>
    <row r="452" ht="15.75" customHeight="1">
      <c r="B452" s="52"/>
      <c r="C452" s="27" t="str">
        <f>IF('Lançamentos'!$B452&lt;&gt;"",YEAR('Lançamentos'!$B452)*100+MONTH(B452),"")</f>
        <v/>
      </c>
      <c r="D452" s="83"/>
      <c r="E452" s="40">
        <f t="array" ref="E452">IFERROR(_xlfn.XLOOKUP('Lançamentos'!$D452,Planilha1!$B$2:$B$35,Planilha1!$C$2:$C$35),0)</f>
        <v>0</v>
      </c>
      <c r="F452" s="84"/>
      <c r="G452" s="43" t="b">
        <v>0</v>
      </c>
      <c r="H452" s="45" t="str">
        <f>IF(AND('Análise'!$G$7="Pago",'Lançamentos'!$G452=TRUE),'Lançamentos'!$F452,IF(AND('Análise'!$G$7="Em Aberto",'Lançamentos'!$G452=FALSE),'Lançamentos'!$F452,IF('Análise'!$G$7="Todos",'Lançamentos'!$F452,0)))</f>
        <v/>
      </c>
    </row>
    <row r="453" ht="15.75" customHeight="1">
      <c r="B453" s="52"/>
      <c r="C453" s="27" t="str">
        <f>IF('Lançamentos'!$B453&lt;&gt;"",YEAR('Lançamentos'!$B453)*100+MONTH(B453),"")</f>
        <v/>
      </c>
      <c r="D453" s="83"/>
      <c r="E453" s="40">
        <f t="array" ref="E453">IFERROR(_xlfn.XLOOKUP('Lançamentos'!$D453,Planilha1!$B$2:$B$35,Planilha1!$C$2:$C$35),0)</f>
        <v>0</v>
      </c>
      <c r="F453" s="84"/>
      <c r="G453" s="43" t="b">
        <v>0</v>
      </c>
      <c r="H453" s="45" t="str">
        <f>IF(AND('Análise'!$G$7="Pago",'Lançamentos'!$G453=TRUE),'Lançamentos'!$F453,IF(AND('Análise'!$G$7="Em Aberto",'Lançamentos'!$G453=FALSE),'Lançamentos'!$F453,IF('Análise'!$G$7="Todos",'Lançamentos'!$F453,0)))</f>
        <v/>
      </c>
    </row>
    <row r="454" ht="15.75" customHeight="1">
      <c r="B454" s="52"/>
      <c r="C454" s="27" t="str">
        <f>IF('Lançamentos'!$B454&lt;&gt;"",YEAR('Lançamentos'!$B454)*100+MONTH(B454),"")</f>
        <v/>
      </c>
      <c r="D454" s="83"/>
      <c r="E454" s="40">
        <f t="array" ref="E454">IFERROR(_xlfn.XLOOKUP('Lançamentos'!$D454,Planilha1!$B$2:$B$35,Planilha1!$C$2:$C$35),0)</f>
        <v>0</v>
      </c>
      <c r="F454" s="84"/>
      <c r="G454" s="43" t="b">
        <v>0</v>
      </c>
      <c r="H454" s="45" t="str">
        <f>IF(AND('Análise'!$G$7="Pago",'Lançamentos'!$G454=TRUE),'Lançamentos'!$F454,IF(AND('Análise'!$G$7="Em Aberto",'Lançamentos'!$G454=FALSE),'Lançamentos'!$F454,IF('Análise'!$G$7="Todos",'Lançamentos'!$F454,0)))</f>
        <v/>
      </c>
    </row>
    <row r="455" ht="15.75" customHeight="1">
      <c r="B455" s="52"/>
      <c r="C455" s="27" t="str">
        <f>IF('Lançamentos'!$B455&lt;&gt;"",YEAR('Lançamentos'!$B455)*100+MONTH(B455),"")</f>
        <v/>
      </c>
      <c r="D455" s="83"/>
      <c r="E455" s="40">
        <f t="array" ref="E455">IFERROR(_xlfn.XLOOKUP('Lançamentos'!$D455,Planilha1!$B$2:$B$35,Planilha1!$C$2:$C$35),0)</f>
        <v>0</v>
      </c>
      <c r="F455" s="84"/>
      <c r="G455" s="43" t="b">
        <v>0</v>
      </c>
      <c r="H455" s="45" t="str">
        <f>IF(AND('Análise'!$G$7="Pago",'Lançamentos'!$G455=TRUE),'Lançamentos'!$F455,IF(AND('Análise'!$G$7="Em Aberto",'Lançamentos'!$G455=FALSE),'Lançamentos'!$F455,IF('Análise'!$G$7="Todos",'Lançamentos'!$F455,0)))</f>
        <v/>
      </c>
    </row>
    <row r="456" ht="15.75" customHeight="1">
      <c r="B456" s="52"/>
      <c r="C456" s="27" t="str">
        <f>IF('Lançamentos'!$B456&lt;&gt;"",YEAR('Lançamentos'!$B456)*100+MONTH(B456),"")</f>
        <v/>
      </c>
      <c r="D456" s="83"/>
      <c r="E456" s="40">
        <f t="array" ref="E456">IFERROR(_xlfn.XLOOKUP('Lançamentos'!$D456,Planilha1!$B$2:$B$35,Planilha1!$C$2:$C$35),0)</f>
        <v>0</v>
      </c>
      <c r="F456" s="84"/>
      <c r="G456" s="43" t="b">
        <v>0</v>
      </c>
      <c r="H456" s="45" t="str">
        <f>IF(AND('Análise'!$G$7="Pago",'Lançamentos'!$G456=TRUE),'Lançamentos'!$F456,IF(AND('Análise'!$G$7="Em Aberto",'Lançamentos'!$G456=FALSE),'Lançamentos'!$F456,IF('Análise'!$G$7="Todos",'Lançamentos'!$F456,0)))</f>
        <v/>
      </c>
    </row>
    <row r="457" ht="15.75" customHeight="1">
      <c r="B457" s="52"/>
      <c r="C457" s="27" t="str">
        <f>IF('Lançamentos'!$B457&lt;&gt;"",YEAR('Lançamentos'!$B457)*100+MONTH(B457),"")</f>
        <v/>
      </c>
      <c r="D457" s="83"/>
      <c r="E457" s="40">
        <f t="array" ref="E457">IFERROR(_xlfn.XLOOKUP('Lançamentos'!$D457,Planilha1!$B$2:$B$35,Planilha1!$C$2:$C$35),0)</f>
        <v>0</v>
      </c>
      <c r="F457" s="84"/>
      <c r="G457" s="43" t="b">
        <v>0</v>
      </c>
      <c r="H457" s="45" t="str">
        <f>IF(AND('Análise'!$G$7="Pago",'Lançamentos'!$G457=TRUE),'Lançamentos'!$F457,IF(AND('Análise'!$G$7="Em Aberto",'Lançamentos'!$G457=FALSE),'Lançamentos'!$F457,IF('Análise'!$G$7="Todos",'Lançamentos'!$F457,0)))</f>
        <v/>
      </c>
    </row>
    <row r="458" ht="15.75" customHeight="1">
      <c r="B458" s="52"/>
      <c r="C458" s="27" t="str">
        <f>IF('Lançamentos'!$B458&lt;&gt;"",YEAR('Lançamentos'!$B458)*100+MONTH(B458),"")</f>
        <v/>
      </c>
      <c r="D458" s="83"/>
      <c r="E458" s="40">
        <f t="array" ref="E458">IFERROR(_xlfn.XLOOKUP('Lançamentos'!$D458,Planilha1!$B$2:$B$35,Planilha1!$C$2:$C$35),0)</f>
        <v>0</v>
      </c>
      <c r="F458" s="84"/>
      <c r="G458" s="43" t="b">
        <v>0</v>
      </c>
      <c r="H458" s="45" t="str">
        <f>IF(AND('Análise'!$G$7="Pago",'Lançamentos'!$G458=TRUE),'Lançamentos'!$F458,IF(AND('Análise'!$G$7="Em Aberto",'Lançamentos'!$G458=FALSE),'Lançamentos'!$F458,IF('Análise'!$G$7="Todos",'Lançamentos'!$F458,0)))</f>
        <v/>
      </c>
    </row>
    <row r="459" ht="15.75" customHeight="1">
      <c r="B459" s="52"/>
      <c r="C459" s="27" t="str">
        <f>IF('Lançamentos'!$B459&lt;&gt;"",YEAR('Lançamentos'!$B459)*100+MONTH(B459),"")</f>
        <v/>
      </c>
      <c r="D459" s="83"/>
      <c r="E459" s="40">
        <f t="array" ref="E459">IFERROR(_xlfn.XLOOKUP('Lançamentos'!$D459,Planilha1!$B$2:$B$35,Planilha1!$C$2:$C$35),0)</f>
        <v>0</v>
      </c>
      <c r="F459" s="84"/>
      <c r="G459" s="43" t="b">
        <v>0</v>
      </c>
      <c r="H459" s="45" t="str">
        <f>IF(AND('Análise'!$G$7="Pago",'Lançamentos'!$G459=TRUE),'Lançamentos'!$F459,IF(AND('Análise'!$G$7="Em Aberto",'Lançamentos'!$G459=FALSE),'Lançamentos'!$F459,IF('Análise'!$G$7="Todos",'Lançamentos'!$F459,0)))</f>
        <v/>
      </c>
    </row>
    <row r="460" ht="15.75" customHeight="1">
      <c r="B460" s="52"/>
      <c r="C460" s="27" t="str">
        <f>IF('Lançamentos'!$B460&lt;&gt;"",YEAR('Lançamentos'!$B460)*100+MONTH(B460),"")</f>
        <v/>
      </c>
      <c r="D460" s="83"/>
      <c r="E460" s="40">
        <f t="array" ref="E460">IFERROR(_xlfn.XLOOKUP('Lançamentos'!$D460,Planilha1!$B$2:$B$35,Planilha1!$C$2:$C$35),0)</f>
        <v>0</v>
      </c>
      <c r="F460" s="84"/>
      <c r="G460" s="43" t="b">
        <v>0</v>
      </c>
      <c r="H460" s="45" t="str">
        <f>IF(AND('Análise'!$G$7="Pago",'Lançamentos'!$G460=TRUE),'Lançamentos'!$F460,IF(AND('Análise'!$G$7="Em Aberto",'Lançamentos'!$G460=FALSE),'Lançamentos'!$F460,IF('Análise'!$G$7="Todos",'Lançamentos'!$F460,0)))</f>
        <v/>
      </c>
    </row>
    <row r="461" ht="15.75" customHeight="1">
      <c r="B461" s="52"/>
      <c r="C461" s="27" t="str">
        <f>IF('Lançamentos'!$B461&lt;&gt;"",YEAR('Lançamentos'!$B461)*100+MONTH(B461),"")</f>
        <v/>
      </c>
      <c r="D461" s="83"/>
      <c r="E461" s="40">
        <f t="array" ref="E461">IFERROR(_xlfn.XLOOKUP('Lançamentos'!$D461,Planilha1!$B$2:$B$35,Planilha1!$C$2:$C$35),0)</f>
        <v>0</v>
      </c>
      <c r="F461" s="84"/>
      <c r="G461" s="43" t="b">
        <v>0</v>
      </c>
      <c r="H461" s="45" t="str">
        <f>IF(AND('Análise'!$G$7="Pago",'Lançamentos'!$G461=TRUE),'Lançamentos'!$F461,IF(AND('Análise'!$G$7="Em Aberto",'Lançamentos'!$G461=FALSE),'Lançamentos'!$F461,IF('Análise'!$G$7="Todos",'Lançamentos'!$F461,0)))</f>
        <v/>
      </c>
    </row>
    <row r="462" ht="15.75" customHeight="1">
      <c r="B462" s="52"/>
      <c r="C462" s="27" t="str">
        <f>IF('Lançamentos'!$B462&lt;&gt;"",YEAR('Lançamentos'!$B462)*100+MONTH(B462),"")</f>
        <v/>
      </c>
      <c r="D462" s="83"/>
      <c r="E462" s="40">
        <f t="array" ref="E462">IFERROR(_xlfn.XLOOKUP('Lançamentos'!$D462,Planilha1!$B$2:$B$35,Planilha1!$C$2:$C$35),0)</f>
        <v>0</v>
      </c>
      <c r="F462" s="84"/>
      <c r="G462" s="43" t="b">
        <v>0</v>
      </c>
      <c r="H462" s="45" t="str">
        <f>IF(AND('Análise'!$G$7="Pago",'Lançamentos'!$G462=TRUE),'Lançamentos'!$F462,IF(AND('Análise'!$G$7="Em Aberto",'Lançamentos'!$G462=FALSE),'Lançamentos'!$F462,IF('Análise'!$G$7="Todos",'Lançamentos'!$F462,0)))</f>
        <v/>
      </c>
    </row>
    <row r="463" ht="15.75" customHeight="1">
      <c r="B463" s="52"/>
      <c r="C463" s="27" t="str">
        <f>IF('Lançamentos'!$B463&lt;&gt;"",YEAR('Lançamentos'!$B463)*100+MONTH(B463),"")</f>
        <v/>
      </c>
      <c r="D463" s="83"/>
      <c r="E463" s="40">
        <f t="array" ref="E463">IFERROR(_xlfn.XLOOKUP('Lançamentos'!$D463,Planilha1!$B$2:$B$35,Planilha1!$C$2:$C$35),0)</f>
        <v>0</v>
      </c>
      <c r="F463" s="84"/>
      <c r="G463" s="43" t="b">
        <v>0</v>
      </c>
      <c r="H463" s="45" t="str">
        <f>IF(AND('Análise'!$G$7="Pago",'Lançamentos'!$G463=TRUE),'Lançamentos'!$F463,IF(AND('Análise'!$G$7="Em Aberto",'Lançamentos'!$G463=FALSE),'Lançamentos'!$F463,IF('Análise'!$G$7="Todos",'Lançamentos'!$F463,0)))</f>
        <v/>
      </c>
    </row>
    <row r="464" ht="15.75" customHeight="1">
      <c r="B464" s="52"/>
      <c r="C464" s="27" t="str">
        <f>IF('Lançamentos'!$B464&lt;&gt;"",YEAR('Lançamentos'!$B464)*100+MONTH(B464),"")</f>
        <v/>
      </c>
      <c r="D464" s="83"/>
      <c r="E464" s="40">
        <f t="array" ref="E464">IFERROR(_xlfn.XLOOKUP('Lançamentos'!$D464,Planilha1!$B$2:$B$35,Planilha1!$C$2:$C$35),0)</f>
        <v>0</v>
      </c>
      <c r="F464" s="84"/>
      <c r="G464" s="43" t="b">
        <v>0</v>
      </c>
      <c r="H464" s="45" t="str">
        <f>IF(AND('Análise'!$G$7="Pago",'Lançamentos'!$G464=TRUE),'Lançamentos'!$F464,IF(AND('Análise'!$G$7="Em Aberto",'Lançamentos'!$G464=FALSE),'Lançamentos'!$F464,IF('Análise'!$G$7="Todos",'Lançamentos'!$F464,0)))</f>
        <v/>
      </c>
    </row>
    <row r="465" ht="15.75" customHeight="1">
      <c r="B465" s="52"/>
      <c r="C465" s="27" t="str">
        <f>IF('Lançamentos'!$B465&lt;&gt;"",YEAR('Lançamentos'!$B465)*100+MONTH(B465),"")</f>
        <v/>
      </c>
      <c r="D465" s="83"/>
      <c r="E465" s="40">
        <f t="array" ref="E465">IFERROR(_xlfn.XLOOKUP('Lançamentos'!$D465,Planilha1!$B$2:$B$35,Planilha1!$C$2:$C$35),0)</f>
        <v>0</v>
      </c>
      <c r="F465" s="84"/>
      <c r="G465" s="43" t="b">
        <v>0</v>
      </c>
      <c r="H465" s="45" t="str">
        <f>IF(AND('Análise'!$G$7="Pago",'Lançamentos'!$G465=TRUE),'Lançamentos'!$F465,IF(AND('Análise'!$G$7="Em Aberto",'Lançamentos'!$G465=FALSE),'Lançamentos'!$F465,IF('Análise'!$G$7="Todos",'Lançamentos'!$F465,0)))</f>
        <v/>
      </c>
    </row>
    <row r="466" ht="15.75" customHeight="1">
      <c r="B466" s="52"/>
      <c r="C466" s="27" t="str">
        <f>IF('Lançamentos'!$B466&lt;&gt;"",YEAR('Lançamentos'!$B466)*100+MONTH(B466),"")</f>
        <v/>
      </c>
      <c r="D466" s="83"/>
      <c r="E466" s="40">
        <f t="array" ref="E466">IFERROR(_xlfn.XLOOKUP('Lançamentos'!$D466,Planilha1!$B$2:$B$35,Planilha1!$C$2:$C$35),0)</f>
        <v>0</v>
      </c>
      <c r="F466" s="84"/>
      <c r="G466" s="43" t="b">
        <v>0</v>
      </c>
      <c r="H466" s="45" t="str">
        <f>IF(AND('Análise'!$G$7="Pago",'Lançamentos'!$G466=TRUE),'Lançamentos'!$F466,IF(AND('Análise'!$G$7="Em Aberto",'Lançamentos'!$G466=FALSE),'Lançamentos'!$F466,IF('Análise'!$G$7="Todos",'Lançamentos'!$F466,0)))</f>
        <v/>
      </c>
    </row>
    <row r="467" ht="15.75" customHeight="1">
      <c r="B467" s="52"/>
      <c r="C467" s="27" t="str">
        <f>IF('Lançamentos'!$B467&lt;&gt;"",YEAR('Lançamentos'!$B467)*100+MONTH(B467),"")</f>
        <v/>
      </c>
      <c r="D467" s="83"/>
      <c r="E467" s="40">
        <f t="array" ref="E467">IFERROR(_xlfn.XLOOKUP('Lançamentos'!$D467,Planilha1!$B$2:$B$35,Planilha1!$C$2:$C$35),0)</f>
        <v>0</v>
      </c>
      <c r="F467" s="84"/>
      <c r="G467" s="43" t="b">
        <v>0</v>
      </c>
      <c r="H467" s="45" t="str">
        <f>IF(AND('Análise'!$G$7="Pago",'Lançamentos'!$G467=TRUE),'Lançamentos'!$F467,IF(AND('Análise'!$G$7="Em Aberto",'Lançamentos'!$G467=FALSE),'Lançamentos'!$F467,IF('Análise'!$G$7="Todos",'Lançamentos'!$F467,0)))</f>
        <v/>
      </c>
    </row>
    <row r="468" ht="15.75" customHeight="1">
      <c r="B468" s="52"/>
      <c r="C468" s="27" t="str">
        <f>IF('Lançamentos'!$B468&lt;&gt;"",YEAR('Lançamentos'!$B468)*100+MONTH(B468),"")</f>
        <v/>
      </c>
      <c r="D468" s="83"/>
      <c r="E468" s="40">
        <f t="array" ref="E468">IFERROR(_xlfn.XLOOKUP('Lançamentos'!$D468,Planilha1!$B$2:$B$35,Planilha1!$C$2:$C$35),0)</f>
        <v>0</v>
      </c>
      <c r="F468" s="84"/>
      <c r="G468" s="43" t="b">
        <v>0</v>
      </c>
      <c r="H468" s="45" t="str">
        <f>IF(AND('Análise'!$G$7="Pago",'Lançamentos'!$G468=TRUE),'Lançamentos'!$F468,IF(AND('Análise'!$G$7="Em Aberto",'Lançamentos'!$G468=FALSE),'Lançamentos'!$F468,IF('Análise'!$G$7="Todos",'Lançamentos'!$F468,0)))</f>
        <v/>
      </c>
    </row>
    <row r="469" ht="15.75" customHeight="1">
      <c r="B469" s="52"/>
      <c r="C469" s="27" t="str">
        <f>IF('Lançamentos'!$B469&lt;&gt;"",YEAR('Lançamentos'!$B469)*100+MONTH(B469),"")</f>
        <v/>
      </c>
      <c r="D469" s="83"/>
      <c r="E469" s="40">
        <f t="array" ref="E469">IFERROR(_xlfn.XLOOKUP('Lançamentos'!$D469,Planilha1!$B$2:$B$35,Planilha1!$C$2:$C$35),0)</f>
        <v>0</v>
      </c>
      <c r="F469" s="84"/>
      <c r="G469" s="43" t="b">
        <v>0</v>
      </c>
      <c r="H469" s="45" t="str">
        <f>IF(AND('Análise'!$G$7="Pago",'Lançamentos'!$G469=TRUE),'Lançamentos'!$F469,IF(AND('Análise'!$G$7="Em Aberto",'Lançamentos'!$G469=FALSE),'Lançamentos'!$F469,IF('Análise'!$G$7="Todos",'Lançamentos'!$F469,0)))</f>
        <v/>
      </c>
    </row>
    <row r="470" ht="15.75" customHeight="1">
      <c r="B470" s="52"/>
      <c r="C470" s="27" t="str">
        <f>IF('Lançamentos'!$B470&lt;&gt;"",YEAR('Lançamentos'!$B470)*100+MONTH(B470),"")</f>
        <v/>
      </c>
      <c r="D470" s="83"/>
      <c r="E470" s="40">
        <f t="array" ref="E470">IFERROR(_xlfn.XLOOKUP('Lançamentos'!$D470,Planilha1!$B$2:$B$35,Planilha1!$C$2:$C$35),0)</f>
        <v>0</v>
      </c>
      <c r="F470" s="84"/>
      <c r="G470" s="43" t="b">
        <v>0</v>
      </c>
      <c r="H470" s="45" t="str">
        <f>IF(AND('Análise'!$G$7="Pago",'Lançamentos'!$G470=TRUE),'Lançamentos'!$F470,IF(AND('Análise'!$G$7="Em Aberto",'Lançamentos'!$G470=FALSE),'Lançamentos'!$F470,IF('Análise'!$G$7="Todos",'Lançamentos'!$F470,0)))</f>
        <v/>
      </c>
    </row>
    <row r="471" ht="15.75" customHeight="1">
      <c r="B471" s="52"/>
      <c r="C471" s="27" t="str">
        <f>IF('Lançamentos'!$B471&lt;&gt;"",YEAR('Lançamentos'!$B471)*100+MONTH(B471),"")</f>
        <v/>
      </c>
      <c r="D471" s="83"/>
      <c r="E471" s="40">
        <f t="array" ref="E471">IFERROR(_xlfn.XLOOKUP('Lançamentos'!$D471,Planilha1!$B$2:$B$35,Planilha1!$C$2:$C$35),0)</f>
        <v>0</v>
      </c>
      <c r="F471" s="84"/>
      <c r="G471" s="43" t="b">
        <v>0</v>
      </c>
      <c r="H471" s="45" t="str">
        <f>IF(AND('Análise'!$G$7="Pago",'Lançamentos'!$G471=TRUE),'Lançamentos'!$F471,IF(AND('Análise'!$G$7="Em Aberto",'Lançamentos'!$G471=FALSE),'Lançamentos'!$F471,IF('Análise'!$G$7="Todos",'Lançamentos'!$F471,0)))</f>
        <v/>
      </c>
    </row>
    <row r="472" ht="15.75" customHeight="1">
      <c r="B472" s="52"/>
      <c r="C472" s="27" t="str">
        <f>IF('Lançamentos'!$B472&lt;&gt;"",YEAR('Lançamentos'!$B472)*100+MONTH(B472),"")</f>
        <v/>
      </c>
      <c r="D472" s="83"/>
      <c r="E472" s="40">
        <f t="array" ref="E472">IFERROR(_xlfn.XLOOKUP('Lançamentos'!$D472,Planilha1!$B$2:$B$35,Planilha1!$C$2:$C$35),0)</f>
        <v>0</v>
      </c>
      <c r="F472" s="84"/>
      <c r="G472" s="43" t="b">
        <v>0</v>
      </c>
      <c r="H472" s="45" t="str">
        <f>IF(AND('Análise'!$G$7="Pago",'Lançamentos'!$G472=TRUE),'Lançamentos'!$F472,IF(AND('Análise'!$G$7="Em Aberto",'Lançamentos'!$G472=FALSE),'Lançamentos'!$F472,IF('Análise'!$G$7="Todos",'Lançamentos'!$F472,0)))</f>
        <v/>
      </c>
    </row>
    <row r="473" ht="15.75" customHeight="1">
      <c r="B473" s="52"/>
      <c r="C473" s="27" t="str">
        <f>IF('Lançamentos'!$B473&lt;&gt;"",YEAR('Lançamentos'!$B473)*100+MONTH(B473),"")</f>
        <v/>
      </c>
      <c r="D473" s="83"/>
      <c r="E473" s="40">
        <f t="array" ref="E473">IFERROR(_xlfn.XLOOKUP('Lançamentos'!$D473,Planilha1!$B$2:$B$35,Planilha1!$C$2:$C$35),0)</f>
        <v>0</v>
      </c>
      <c r="F473" s="84"/>
      <c r="G473" s="43" t="b">
        <v>0</v>
      </c>
      <c r="H473" s="45" t="str">
        <f>IF(AND('Análise'!$G$7="Pago",'Lançamentos'!$G473=TRUE),'Lançamentos'!$F473,IF(AND('Análise'!$G$7="Em Aberto",'Lançamentos'!$G473=FALSE),'Lançamentos'!$F473,IF('Análise'!$G$7="Todos",'Lançamentos'!$F473,0)))</f>
        <v/>
      </c>
    </row>
    <row r="474" ht="15.75" customHeight="1">
      <c r="B474" s="52"/>
      <c r="C474" s="27" t="str">
        <f>IF('Lançamentos'!$B474&lt;&gt;"",YEAR('Lançamentos'!$B474)*100+MONTH(B474),"")</f>
        <v/>
      </c>
      <c r="D474" s="83"/>
      <c r="E474" s="40">
        <f t="array" ref="E474">IFERROR(_xlfn.XLOOKUP('Lançamentos'!$D474,Planilha1!$B$2:$B$35,Planilha1!$C$2:$C$35),0)</f>
        <v>0</v>
      </c>
      <c r="F474" s="84"/>
      <c r="G474" s="43" t="b">
        <v>0</v>
      </c>
      <c r="H474" s="45" t="str">
        <f>IF(AND('Análise'!$G$7="Pago",'Lançamentos'!$G474=TRUE),'Lançamentos'!$F474,IF(AND('Análise'!$G$7="Em Aberto",'Lançamentos'!$G474=FALSE),'Lançamentos'!$F474,IF('Análise'!$G$7="Todos",'Lançamentos'!$F474,0)))</f>
        <v/>
      </c>
    </row>
    <row r="475" ht="15.75" customHeight="1">
      <c r="B475" s="52"/>
      <c r="C475" s="27" t="str">
        <f>IF('Lançamentos'!$B475&lt;&gt;"",YEAR('Lançamentos'!$B475)*100+MONTH(B475),"")</f>
        <v/>
      </c>
      <c r="D475" s="83"/>
      <c r="E475" s="40">
        <f t="array" ref="E475">IFERROR(_xlfn.XLOOKUP('Lançamentos'!$D475,Planilha1!$B$2:$B$35,Planilha1!$C$2:$C$35),0)</f>
        <v>0</v>
      </c>
      <c r="F475" s="84"/>
      <c r="G475" s="43" t="b">
        <v>0</v>
      </c>
      <c r="H475" s="45" t="str">
        <f>IF(AND('Análise'!$G$7="Pago",'Lançamentos'!$G475=TRUE),'Lançamentos'!$F475,IF(AND('Análise'!$G$7="Em Aberto",'Lançamentos'!$G475=FALSE),'Lançamentos'!$F475,IF('Análise'!$G$7="Todos",'Lançamentos'!$F475,0)))</f>
        <v/>
      </c>
    </row>
    <row r="476" ht="15.75" customHeight="1">
      <c r="B476" s="52"/>
      <c r="C476" s="27" t="str">
        <f>IF('Lançamentos'!$B476&lt;&gt;"",YEAR('Lançamentos'!$B476)*100+MONTH(B476),"")</f>
        <v/>
      </c>
      <c r="D476" s="83"/>
      <c r="E476" s="40">
        <f t="array" ref="E476">IFERROR(_xlfn.XLOOKUP('Lançamentos'!$D476,Planilha1!$B$2:$B$35,Planilha1!$C$2:$C$35),0)</f>
        <v>0</v>
      </c>
      <c r="F476" s="84"/>
      <c r="G476" s="43" t="b">
        <v>0</v>
      </c>
      <c r="H476" s="45" t="str">
        <f>IF(AND('Análise'!$G$7="Pago",'Lançamentos'!$G476=TRUE),'Lançamentos'!$F476,IF(AND('Análise'!$G$7="Em Aberto",'Lançamentos'!$G476=FALSE),'Lançamentos'!$F476,IF('Análise'!$G$7="Todos",'Lançamentos'!$F476,0)))</f>
        <v/>
      </c>
    </row>
    <row r="477" ht="15.75" customHeight="1">
      <c r="B477" s="52"/>
      <c r="C477" s="27" t="str">
        <f>IF('Lançamentos'!$B477&lt;&gt;"",YEAR('Lançamentos'!$B477)*100+MONTH(B477),"")</f>
        <v/>
      </c>
      <c r="D477" s="83"/>
      <c r="E477" s="40">
        <f t="array" ref="E477">IFERROR(_xlfn.XLOOKUP('Lançamentos'!$D477,Planilha1!$B$2:$B$35,Planilha1!$C$2:$C$35),0)</f>
        <v>0</v>
      </c>
      <c r="F477" s="84"/>
      <c r="G477" s="43" t="b">
        <v>0</v>
      </c>
      <c r="H477" s="45" t="str">
        <f>IF(AND('Análise'!$G$7="Pago",'Lançamentos'!$G477=TRUE),'Lançamentos'!$F477,IF(AND('Análise'!$G$7="Em Aberto",'Lançamentos'!$G477=FALSE),'Lançamentos'!$F477,IF('Análise'!$G$7="Todos",'Lançamentos'!$F477,0)))</f>
        <v/>
      </c>
    </row>
    <row r="478" ht="15.75" customHeight="1">
      <c r="B478" s="52"/>
      <c r="C478" s="27" t="str">
        <f>IF('Lançamentos'!$B478&lt;&gt;"",YEAR('Lançamentos'!$B478)*100+MONTH(B478),"")</f>
        <v/>
      </c>
      <c r="D478" s="83"/>
      <c r="E478" s="40">
        <f t="array" ref="E478">IFERROR(_xlfn.XLOOKUP('Lançamentos'!$D478,Planilha1!$B$2:$B$35,Planilha1!$C$2:$C$35),0)</f>
        <v>0</v>
      </c>
      <c r="F478" s="84"/>
      <c r="G478" s="43" t="b">
        <v>0</v>
      </c>
      <c r="H478" s="45" t="str">
        <f>IF(AND('Análise'!$G$7="Pago",'Lançamentos'!$G478=TRUE),'Lançamentos'!$F478,IF(AND('Análise'!$G$7="Em Aberto",'Lançamentos'!$G478=FALSE),'Lançamentos'!$F478,IF('Análise'!$G$7="Todos",'Lançamentos'!$F478,0)))</f>
        <v/>
      </c>
    </row>
    <row r="479" ht="15.75" customHeight="1">
      <c r="B479" s="52"/>
      <c r="C479" s="27" t="str">
        <f>IF('Lançamentos'!$B479&lt;&gt;"",YEAR('Lançamentos'!$B479)*100+MONTH(B479),"")</f>
        <v/>
      </c>
      <c r="D479" s="83"/>
      <c r="E479" s="40">
        <f t="array" ref="E479">IFERROR(_xlfn.XLOOKUP('Lançamentos'!$D479,Planilha1!$B$2:$B$35,Planilha1!$C$2:$C$35),0)</f>
        <v>0</v>
      </c>
      <c r="F479" s="84"/>
      <c r="G479" s="43" t="b">
        <v>0</v>
      </c>
      <c r="H479" s="45" t="str">
        <f>IF(AND('Análise'!$G$7="Pago",'Lançamentos'!$G479=TRUE),'Lançamentos'!$F479,IF(AND('Análise'!$G$7="Em Aberto",'Lançamentos'!$G479=FALSE),'Lançamentos'!$F479,IF('Análise'!$G$7="Todos",'Lançamentos'!$F479,0)))</f>
        <v/>
      </c>
    </row>
    <row r="480" ht="15.75" customHeight="1">
      <c r="B480" s="52"/>
      <c r="C480" s="27" t="str">
        <f>IF('Lançamentos'!$B480&lt;&gt;"",YEAR('Lançamentos'!$B480)*100+MONTH(B480),"")</f>
        <v/>
      </c>
      <c r="D480" s="83"/>
      <c r="E480" s="40">
        <f t="array" ref="E480">IFERROR(_xlfn.XLOOKUP('Lançamentos'!$D480,Planilha1!$B$2:$B$35,Planilha1!$C$2:$C$35),0)</f>
        <v>0</v>
      </c>
      <c r="F480" s="84"/>
      <c r="G480" s="43" t="b">
        <v>0</v>
      </c>
      <c r="H480" s="45" t="str">
        <f>IF(AND('Análise'!$G$7="Pago",'Lançamentos'!$G480=TRUE),'Lançamentos'!$F480,IF(AND('Análise'!$G$7="Em Aberto",'Lançamentos'!$G480=FALSE),'Lançamentos'!$F480,IF('Análise'!$G$7="Todos",'Lançamentos'!$F480,0)))</f>
        <v/>
      </c>
    </row>
    <row r="481" ht="15.75" customHeight="1">
      <c r="B481" s="52"/>
      <c r="C481" s="27" t="str">
        <f>IF('Lançamentos'!$B481&lt;&gt;"",YEAR('Lançamentos'!$B481)*100+MONTH(B481),"")</f>
        <v/>
      </c>
      <c r="D481" s="83"/>
      <c r="E481" s="40">
        <f t="array" ref="E481">IFERROR(_xlfn.XLOOKUP('Lançamentos'!$D481,Planilha1!$B$2:$B$35,Planilha1!$C$2:$C$35),0)</f>
        <v>0</v>
      </c>
      <c r="F481" s="84"/>
      <c r="G481" s="43" t="b">
        <v>0</v>
      </c>
      <c r="H481" s="45" t="str">
        <f>IF(AND('Análise'!$G$7="Pago",'Lançamentos'!$G481=TRUE),'Lançamentos'!$F481,IF(AND('Análise'!$G$7="Em Aberto",'Lançamentos'!$G481=FALSE),'Lançamentos'!$F481,IF('Análise'!$G$7="Todos",'Lançamentos'!$F481,0)))</f>
        <v/>
      </c>
    </row>
    <row r="482" ht="15.75" customHeight="1">
      <c r="B482" s="52"/>
      <c r="C482" s="27" t="str">
        <f>IF('Lançamentos'!$B482&lt;&gt;"",YEAR('Lançamentos'!$B482)*100+MONTH(B482),"")</f>
        <v/>
      </c>
      <c r="D482" s="83"/>
      <c r="E482" s="40">
        <f t="array" ref="E482">IFERROR(_xlfn.XLOOKUP('Lançamentos'!$D482,Planilha1!$B$2:$B$35,Planilha1!$C$2:$C$35),0)</f>
        <v>0</v>
      </c>
      <c r="F482" s="84"/>
      <c r="G482" s="43" t="b">
        <v>0</v>
      </c>
      <c r="H482" s="45" t="str">
        <f>IF(AND('Análise'!$G$7="Pago",'Lançamentos'!$G482=TRUE),'Lançamentos'!$F482,IF(AND('Análise'!$G$7="Em Aberto",'Lançamentos'!$G482=FALSE),'Lançamentos'!$F482,IF('Análise'!$G$7="Todos",'Lançamentos'!$F482,0)))</f>
        <v/>
      </c>
    </row>
    <row r="483" ht="15.75" customHeight="1">
      <c r="B483" s="52"/>
      <c r="C483" s="27" t="str">
        <f>IF('Lançamentos'!$B483&lt;&gt;"",YEAR('Lançamentos'!$B483)*100+MONTH(B483),"")</f>
        <v/>
      </c>
      <c r="D483" s="83"/>
      <c r="E483" s="40">
        <f t="array" ref="E483">IFERROR(_xlfn.XLOOKUP('Lançamentos'!$D483,Planilha1!$B$2:$B$35,Planilha1!$C$2:$C$35),0)</f>
        <v>0</v>
      </c>
      <c r="F483" s="84"/>
      <c r="G483" s="43" t="b">
        <v>0</v>
      </c>
      <c r="H483" s="45" t="str">
        <f>IF(AND('Análise'!$G$7="Pago",'Lançamentos'!$G483=TRUE),'Lançamentos'!$F483,IF(AND('Análise'!$G$7="Em Aberto",'Lançamentos'!$G483=FALSE),'Lançamentos'!$F483,IF('Análise'!$G$7="Todos",'Lançamentos'!$F483,0)))</f>
        <v/>
      </c>
    </row>
    <row r="484" ht="15.75" customHeight="1">
      <c r="B484" s="52"/>
      <c r="C484" s="27" t="str">
        <f>IF('Lançamentos'!$B484&lt;&gt;"",YEAR('Lançamentos'!$B484)*100+MONTH(B484),"")</f>
        <v/>
      </c>
      <c r="D484" s="83"/>
      <c r="E484" s="40">
        <f t="array" ref="E484">IFERROR(_xlfn.XLOOKUP('Lançamentos'!$D484,Planilha1!$B$2:$B$35,Planilha1!$C$2:$C$35),0)</f>
        <v>0</v>
      </c>
      <c r="F484" s="84"/>
      <c r="G484" s="43" t="b">
        <v>0</v>
      </c>
      <c r="H484" s="45" t="str">
        <f>IF(AND('Análise'!$G$7="Pago",'Lançamentos'!$G484=TRUE),'Lançamentos'!$F484,IF(AND('Análise'!$G$7="Em Aberto",'Lançamentos'!$G484=FALSE),'Lançamentos'!$F484,IF('Análise'!$G$7="Todos",'Lançamentos'!$F484,0)))</f>
        <v/>
      </c>
    </row>
    <row r="485" ht="15.75" customHeight="1">
      <c r="B485" s="52"/>
      <c r="C485" s="27" t="str">
        <f>IF('Lançamentos'!$B485&lt;&gt;"",YEAR('Lançamentos'!$B485)*100+MONTH(B485),"")</f>
        <v/>
      </c>
      <c r="D485" s="83"/>
      <c r="E485" s="40">
        <f t="array" ref="E485">IFERROR(_xlfn.XLOOKUP('Lançamentos'!$D485,Planilha1!$B$2:$B$35,Planilha1!$C$2:$C$35),0)</f>
        <v>0</v>
      </c>
      <c r="F485" s="84"/>
      <c r="G485" s="43" t="b">
        <v>0</v>
      </c>
      <c r="H485" s="45" t="str">
        <f>IF(AND('Análise'!$G$7="Pago",'Lançamentos'!$G485=TRUE),'Lançamentos'!$F485,IF(AND('Análise'!$G$7="Em Aberto",'Lançamentos'!$G485=FALSE),'Lançamentos'!$F485,IF('Análise'!$G$7="Todos",'Lançamentos'!$F485,0)))</f>
        <v/>
      </c>
    </row>
    <row r="486" ht="15.75" customHeight="1">
      <c r="B486" s="52"/>
      <c r="C486" s="27" t="str">
        <f>IF('Lançamentos'!$B486&lt;&gt;"",YEAR('Lançamentos'!$B486)*100+MONTH(B486),"")</f>
        <v/>
      </c>
      <c r="D486" s="83"/>
      <c r="E486" s="40">
        <f t="array" ref="E486">IFERROR(_xlfn.XLOOKUP('Lançamentos'!$D486,Planilha1!$B$2:$B$35,Planilha1!$C$2:$C$35),0)</f>
        <v>0</v>
      </c>
      <c r="F486" s="84"/>
      <c r="G486" s="43" t="b">
        <v>0</v>
      </c>
      <c r="H486" s="45" t="str">
        <f>IF(AND('Análise'!$G$7="Pago",'Lançamentos'!$G486=TRUE),'Lançamentos'!$F486,IF(AND('Análise'!$G$7="Em Aberto",'Lançamentos'!$G486=FALSE),'Lançamentos'!$F486,IF('Análise'!$G$7="Todos",'Lançamentos'!$F486,0)))</f>
        <v/>
      </c>
    </row>
    <row r="487" ht="15.75" customHeight="1">
      <c r="B487" s="52"/>
      <c r="C487" s="27" t="str">
        <f>IF('Lançamentos'!$B487&lt;&gt;"",YEAR('Lançamentos'!$B487)*100+MONTH(B487),"")</f>
        <v/>
      </c>
      <c r="D487" s="83"/>
      <c r="E487" s="40">
        <f t="array" ref="E487">IFERROR(_xlfn.XLOOKUP('Lançamentos'!$D487,Planilha1!$B$2:$B$35,Planilha1!$C$2:$C$35),0)</f>
        <v>0</v>
      </c>
      <c r="F487" s="84"/>
      <c r="G487" s="43" t="b">
        <v>0</v>
      </c>
      <c r="H487" s="45" t="str">
        <f>IF(AND('Análise'!$G$7="Pago",'Lançamentos'!$G487=TRUE),'Lançamentos'!$F487,IF(AND('Análise'!$G$7="Em Aberto",'Lançamentos'!$G487=FALSE),'Lançamentos'!$F487,IF('Análise'!$G$7="Todos",'Lançamentos'!$F487,0)))</f>
        <v/>
      </c>
    </row>
    <row r="488" ht="15.75" customHeight="1">
      <c r="B488" s="52"/>
      <c r="C488" s="27" t="str">
        <f>IF('Lançamentos'!$B488&lt;&gt;"",YEAR('Lançamentos'!$B488)*100+MONTH(B488),"")</f>
        <v/>
      </c>
      <c r="D488" s="83"/>
      <c r="E488" s="40">
        <f t="array" ref="E488">IFERROR(_xlfn.XLOOKUP('Lançamentos'!$D488,Planilha1!$B$2:$B$35,Planilha1!$C$2:$C$35),0)</f>
        <v>0</v>
      </c>
      <c r="F488" s="84"/>
      <c r="G488" s="43" t="b">
        <v>0</v>
      </c>
      <c r="H488" s="45" t="str">
        <f>IF(AND('Análise'!$G$7="Pago",'Lançamentos'!$G488=TRUE),'Lançamentos'!$F488,IF(AND('Análise'!$G$7="Em Aberto",'Lançamentos'!$G488=FALSE),'Lançamentos'!$F488,IF('Análise'!$G$7="Todos",'Lançamentos'!$F488,0)))</f>
        <v/>
      </c>
    </row>
    <row r="489" ht="15.75" customHeight="1">
      <c r="B489" s="52"/>
      <c r="C489" s="27" t="str">
        <f>IF('Lançamentos'!$B489&lt;&gt;"",YEAR('Lançamentos'!$B489)*100+MONTH(B489),"")</f>
        <v/>
      </c>
      <c r="D489" s="83"/>
      <c r="E489" s="40">
        <f t="array" ref="E489">IFERROR(_xlfn.XLOOKUP('Lançamentos'!$D489,Planilha1!$B$2:$B$35,Planilha1!$C$2:$C$35),0)</f>
        <v>0</v>
      </c>
      <c r="F489" s="84"/>
      <c r="G489" s="43" t="b">
        <v>0</v>
      </c>
      <c r="H489" s="45" t="str">
        <f>IF(AND('Análise'!$G$7="Pago",'Lançamentos'!$G489=TRUE),'Lançamentos'!$F489,IF(AND('Análise'!$G$7="Em Aberto",'Lançamentos'!$G489=FALSE),'Lançamentos'!$F489,IF('Análise'!$G$7="Todos",'Lançamentos'!$F489,0)))</f>
        <v/>
      </c>
    </row>
    <row r="490" ht="15.75" customHeight="1">
      <c r="B490" s="52"/>
      <c r="C490" s="27" t="str">
        <f>IF('Lançamentos'!$B490&lt;&gt;"",YEAR('Lançamentos'!$B490)*100+MONTH(B490),"")</f>
        <v/>
      </c>
      <c r="D490" s="83"/>
      <c r="E490" s="40">
        <f t="array" ref="E490">IFERROR(_xlfn.XLOOKUP('Lançamentos'!$D490,Planilha1!$B$2:$B$35,Planilha1!$C$2:$C$35),0)</f>
        <v>0</v>
      </c>
      <c r="F490" s="84"/>
      <c r="G490" s="43" t="b">
        <v>0</v>
      </c>
      <c r="H490" s="45" t="str">
        <f>IF(AND('Análise'!$G$7="Pago",'Lançamentos'!$G490=TRUE),'Lançamentos'!$F490,IF(AND('Análise'!$G$7="Em Aberto",'Lançamentos'!$G490=FALSE),'Lançamentos'!$F490,IF('Análise'!$G$7="Todos",'Lançamentos'!$F490,0)))</f>
        <v/>
      </c>
    </row>
    <row r="491" ht="15.75" customHeight="1">
      <c r="B491" s="52"/>
      <c r="C491" s="27" t="str">
        <f>IF('Lançamentos'!$B491&lt;&gt;"",YEAR('Lançamentos'!$B491)*100+MONTH(B491),"")</f>
        <v/>
      </c>
      <c r="D491" s="83"/>
      <c r="E491" s="40">
        <f t="array" ref="E491">IFERROR(_xlfn.XLOOKUP('Lançamentos'!$D491,Planilha1!$B$2:$B$35,Planilha1!$C$2:$C$35),0)</f>
        <v>0</v>
      </c>
      <c r="F491" s="84"/>
      <c r="G491" s="43" t="b">
        <v>0</v>
      </c>
      <c r="H491" s="45" t="str">
        <f>IF(AND('Análise'!$G$7="Pago",'Lançamentos'!$G491=TRUE),'Lançamentos'!$F491,IF(AND('Análise'!$G$7="Em Aberto",'Lançamentos'!$G491=FALSE),'Lançamentos'!$F491,IF('Análise'!$G$7="Todos",'Lançamentos'!$F491,0)))</f>
        <v/>
      </c>
    </row>
    <row r="492" ht="15.75" customHeight="1">
      <c r="B492" s="52"/>
      <c r="C492" s="27" t="str">
        <f>IF('Lançamentos'!$B492&lt;&gt;"",YEAR('Lançamentos'!$B492)*100+MONTH(B492),"")</f>
        <v/>
      </c>
      <c r="D492" s="83"/>
      <c r="E492" s="40">
        <f t="array" ref="E492">IFERROR(_xlfn.XLOOKUP('Lançamentos'!$D492,Planilha1!$B$2:$B$35,Planilha1!$C$2:$C$35),0)</f>
        <v>0</v>
      </c>
      <c r="F492" s="84"/>
      <c r="G492" s="43" t="b">
        <v>0</v>
      </c>
      <c r="H492" s="45" t="str">
        <f>IF(AND('Análise'!$G$7="Pago",'Lançamentos'!$G492=TRUE),'Lançamentos'!$F492,IF(AND('Análise'!$G$7="Em Aberto",'Lançamentos'!$G492=FALSE),'Lançamentos'!$F492,IF('Análise'!$G$7="Todos",'Lançamentos'!$F492,0)))</f>
        <v/>
      </c>
    </row>
    <row r="493" ht="15.75" customHeight="1">
      <c r="B493" s="52"/>
      <c r="C493" s="27" t="str">
        <f>IF('Lançamentos'!$B493&lt;&gt;"",YEAR('Lançamentos'!$B493)*100+MONTH(B493),"")</f>
        <v/>
      </c>
      <c r="D493" s="83"/>
      <c r="E493" s="40">
        <f t="array" ref="E493">IFERROR(_xlfn.XLOOKUP('Lançamentos'!$D493,Planilha1!$B$2:$B$35,Planilha1!$C$2:$C$35),0)</f>
        <v>0</v>
      </c>
      <c r="F493" s="84"/>
      <c r="G493" s="43" t="b">
        <v>0</v>
      </c>
      <c r="H493" s="45" t="str">
        <f>IF(AND('Análise'!$G$7="Pago",'Lançamentos'!$G493=TRUE),'Lançamentos'!$F493,IF(AND('Análise'!$G$7="Em Aberto",'Lançamentos'!$G493=FALSE),'Lançamentos'!$F493,IF('Análise'!$G$7="Todos",'Lançamentos'!$F493,0)))</f>
        <v/>
      </c>
    </row>
    <row r="494" ht="15.75" customHeight="1">
      <c r="B494" s="52"/>
      <c r="C494" s="27" t="str">
        <f>IF('Lançamentos'!$B494&lt;&gt;"",YEAR('Lançamentos'!$B494)*100+MONTH(B494),"")</f>
        <v/>
      </c>
      <c r="D494" s="83"/>
      <c r="E494" s="40">
        <f t="array" ref="E494">IFERROR(_xlfn.XLOOKUP('Lançamentos'!$D494,Planilha1!$B$2:$B$35,Planilha1!$C$2:$C$35),0)</f>
        <v>0</v>
      </c>
      <c r="F494" s="84"/>
      <c r="G494" s="43" t="b">
        <v>0</v>
      </c>
      <c r="H494" s="45" t="str">
        <f>IF(AND('Análise'!$G$7="Pago",'Lançamentos'!$G494=TRUE),'Lançamentos'!$F494,IF(AND('Análise'!$G$7="Em Aberto",'Lançamentos'!$G494=FALSE),'Lançamentos'!$F494,IF('Análise'!$G$7="Todos",'Lançamentos'!$F494,0)))</f>
        <v/>
      </c>
    </row>
    <row r="495" ht="15.75" customHeight="1">
      <c r="B495" s="52"/>
      <c r="C495" s="27" t="str">
        <f>IF('Lançamentos'!$B495&lt;&gt;"",YEAR('Lançamentos'!$B495)*100+MONTH(B495),"")</f>
        <v/>
      </c>
      <c r="D495" s="83"/>
      <c r="E495" s="40">
        <f t="array" ref="E495">IFERROR(_xlfn.XLOOKUP('Lançamentos'!$D495,Planilha1!$B$2:$B$35,Planilha1!$C$2:$C$35),0)</f>
        <v>0</v>
      </c>
      <c r="F495" s="84"/>
      <c r="G495" s="43" t="b">
        <v>0</v>
      </c>
      <c r="H495" s="45" t="str">
        <f>IF(AND('Análise'!$G$7="Pago",'Lançamentos'!$G495=TRUE),'Lançamentos'!$F495,IF(AND('Análise'!$G$7="Em Aberto",'Lançamentos'!$G495=FALSE),'Lançamentos'!$F495,IF('Análise'!$G$7="Todos",'Lançamentos'!$F495,0)))</f>
        <v/>
      </c>
    </row>
    <row r="496" ht="15.75" customHeight="1">
      <c r="B496" s="52"/>
      <c r="C496" s="27" t="str">
        <f>IF('Lançamentos'!$B496&lt;&gt;"",YEAR('Lançamentos'!$B496)*100+MONTH(B496),"")</f>
        <v/>
      </c>
      <c r="D496" s="83"/>
      <c r="E496" s="40">
        <f t="array" ref="E496">IFERROR(_xlfn.XLOOKUP('Lançamentos'!$D496,Planilha1!$B$2:$B$35,Planilha1!$C$2:$C$35),0)</f>
        <v>0</v>
      </c>
      <c r="F496" s="84"/>
      <c r="G496" s="43" t="b">
        <v>0</v>
      </c>
      <c r="H496" s="45" t="str">
        <f>IF(AND('Análise'!$G$7="Pago",'Lançamentos'!$G496=TRUE),'Lançamentos'!$F496,IF(AND('Análise'!$G$7="Em Aberto",'Lançamentos'!$G496=FALSE),'Lançamentos'!$F496,IF('Análise'!$G$7="Todos",'Lançamentos'!$F496,0)))</f>
        <v/>
      </c>
    </row>
    <row r="497" ht="15.75" customHeight="1">
      <c r="B497" s="52"/>
      <c r="C497" s="27" t="str">
        <f>IF('Lançamentos'!$B497&lt;&gt;"",YEAR('Lançamentos'!$B497)*100+MONTH(B497),"")</f>
        <v/>
      </c>
      <c r="D497" s="83"/>
      <c r="E497" s="40">
        <f t="array" ref="E497">IFERROR(_xlfn.XLOOKUP('Lançamentos'!$D497,Planilha1!$B$2:$B$35,Planilha1!$C$2:$C$35),0)</f>
        <v>0</v>
      </c>
      <c r="F497" s="84"/>
      <c r="G497" s="43" t="b">
        <v>0</v>
      </c>
      <c r="H497" s="45" t="str">
        <f>IF(AND('Análise'!$G$7="Pago",'Lançamentos'!$G497=TRUE),'Lançamentos'!$F497,IF(AND('Análise'!$G$7="Em Aberto",'Lançamentos'!$G497=FALSE),'Lançamentos'!$F497,IF('Análise'!$G$7="Todos",'Lançamentos'!$F497,0)))</f>
        <v/>
      </c>
    </row>
    <row r="498" ht="15.75" customHeight="1">
      <c r="B498" s="52"/>
      <c r="C498" s="27" t="str">
        <f>IF('Lançamentos'!$B498&lt;&gt;"",YEAR('Lançamentos'!$B498)*100+MONTH(B498),"")</f>
        <v/>
      </c>
      <c r="D498" s="83"/>
      <c r="E498" s="40">
        <f t="array" ref="E498">IFERROR(_xlfn.XLOOKUP('Lançamentos'!$D498,Planilha1!$B$2:$B$35,Planilha1!$C$2:$C$35),0)</f>
        <v>0</v>
      </c>
      <c r="F498" s="84"/>
      <c r="G498" s="43" t="b">
        <v>0</v>
      </c>
      <c r="H498" s="45" t="str">
        <f>IF(AND('Análise'!$G$7="Pago",'Lançamentos'!$G498=TRUE),'Lançamentos'!$F498,IF(AND('Análise'!$G$7="Em Aberto",'Lançamentos'!$G498=FALSE),'Lançamentos'!$F498,IF('Análise'!$G$7="Todos",'Lançamentos'!$F498,0)))</f>
        <v/>
      </c>
    </row>
    <row r="499" ht="15.75" customHeight="1">
      <c r="B499" s="52"/>
      <c r="C499" s="27" t="str">
        <f>IF('Lançamentos'!$B499&lt;&gt;"",YEAR('Lançamentos'!$B499)*100+MONTH(B499),"")</f>
        <v/>
      </c>
      <c r="D499" s="83"/>
      <c r="E499" s="40">
        <f t="array" ref="E499">IFERROR(_xlfn.XLOOKUP('Lançamentos'!$D499,Planilha1!$B$2:$B$35,Planilha1!$C$2:$C$35),0)</f>
        <v>0</v>
      </c>
      <c r="F499" s="84"/>
      <c r="G499" s="43" t="b">
        <v>0</v>
      </c>
      <c r="H499" s="45" t="str">
        <f>IF(AND('Análise'!$G$7="Pago",'Lançamentos'!$G499=TRUE),'Lançamentos'!$F499,IF(AND('Análise'!$G$7="Em Aberto",'Lançamentos'!$G499=FALSE),'Lançamentos'!$F499,IF('Análise'!$G$7="Todos",'Lançamentos'!$F499,0)))</f>
        <v/>
      </c>
    </row>
    <row r="500" ht="15.75" customHeight="1">
      <c r="B500" s="52"/>
      <c r="C500" s="27" t="str">
        <f>IF('Lançamentos'!$B500&lt;&gt;"",YEAR('Lançamentos'!$B500)*100+MONTH(B500),"")</f>
        <v/>
      </c>
      <c r="D500" s="83"/>
      <c r="E500" s="40">
        <f t="array" ref="E500">IFERROR(_xlfn.XLOOKUP('Lançamentos'!$D500,Planilha1!$B$2:$B$35,Planilha1!$C$2:$C$35),0)</f>
        <v>0</v>
      </c>
      <c r="F500" s="84"/>
      <c r="G500" s="43" t="b">
        <v>0</v>
      </c>
      <c r="H500" s="45" t="str">
        <f>IF(AND('Análise'!$G$7="Pago",'Lançamentos'!$G500=TRUE),'Lançamentos'!$F500,IF(AND('Análise'!$G$7="Em Aberto",'Lançamentos'!$G500=FALSE),'Lançamentos'!$F500,IF('Análise'!$G$7="Todos",'Lançamentos'!$F500,0)))</f>
        <v/>
      </c>
    </row>
    <row r="501" ht="15.75" customHeight="1">
      <c r="B501" s="52"/>
      <c r="C501" s="27" t="str">
        <f>IF('Lançamentos'!$B501&lt;&gt;"",YEAR('Lançamentos'!$B501)*100+MONTH(B501),"")</f>
        <v/>
      </c>
      <c r="D501" s="83"/>
      <c r="E501" s="40">
        <f t="array" ref="E501">IFERROR(_xlfn.XLOOKUP('Lançamentos'!$D501,Planilha1!$B$2:$B$35,Planilha1!$C$2:$C$35),0)</f>
        <v>0</v>
      </c>
      <c r="F501" s="84"/>
      <c r="G501" s="43" t="b">
        <v>0</v>
      </c>
      <c r="H501" s="45" t="str">
        <f>IF(AND('Análise'!$G$7="Pago",'Lançamentos'!$G501=TRUE),'Lançamentos'!$F501,IF(AND('Análise'!$G$7="Em Aberto",'Lançamentos'!$G501=FALSE),'Lançamentos'!$F501,IF('Análise'!$G$7="Todos",'Lançamentos'!$F501,0)))</f>
        <v/>
      </c>
    </row>
    <row r="502" ht="15.75" customHeight="1">
      <c r="B502" s="52"/>
      <c r="C502" s="27" t="str">
        <f>IF('Lançamentos'!$B502&lt;&gt;"",YEAR('Lançamentos'!$B502)*100+MONTH(B502),"")</f>
        <v/>
      </c>
      <c r="D502" s="83"/>
      <c r="E502" s="40">
        <f t="array" ref="E502">IFERROR(_xlfn.XLOOKUP('Lançamentos'!$D502,Planilha1!$B$2:$B$35,Planilha1!$C$2:$C$35),0)</f>
        <v>0</v>
      </c>
      <c r="F502" s="84"/>
      <c r="G502" s="43" t="b">
        <v>0</v>
      </c>
      <c r="H502" s="45" t="str">
        <f>IF(AND('Análise'!$G$7="Pago",'Lançamentos'!$G502=TRUE),'Lançamentos'!$F502,IF(AND('Análise'!$G$7="Em Aberto",'Lançamentos'!$G502=FALSE),'Lançamentos'!$F502,IF('Análise'!$G$7="Todos",'Lançamentos'!$F502,0)))</f>
        <v/>
      </c>
    </row>
    <row r="503" ht="15.75" customHeight="1">
      <c r="B503" s="52"/>
      <c r="C503" s="27" t="str">
        <f>IF('Lançamentos'!$B503&lt;&gt;"",YEAR('Lançamentos'!$B503)*100+MONTH(B503),"")</f>
        <v/>
      </c>
      <c r="D503" s="83"/>
      <c r="E503" s="40">
        <f t="array" ref="E503">IFERROR(_xlfn.XLOOKUP('Lançamentos'!$D503,Planilha1!$B$2:$B$35,Planilha1!$C$2:$C$35),0)</f>
        <v>0</v>
      </c>
      <c r="F503" s="84"/>
      <c r="G503" s="43" t="b">
        <v>0</v>
      </c>
      <c r="H503" s="45" t="str">
        <f>IF(AND('Análise'!$G$7="Pago",'Lançamentos'!$G503=TRUE),'Lançamentos'!$F503,IF(AND('Análise'!$G$7="Em Aberto",'Lançamentos'!$G503=FALSE),'Lançamentos'!$F503,IF('Análise'!$G$7="Todos",'Lançamentos'!$F503,0)))</f>
        <v/>
      </c>
    </row>
    <row r="504" ht="15.75" customHeight="1">
      <c r="B504" s="52"/>
      <c r="C504" s="27" t="str">
        <f>IF('Lançamentos'!$B504&lt;&gt;"",YEAR('Lançamentos'!$B504)*100+MONTH(B504),"")</f>
        <v/>
      </c>
      <c r="D504" s="83"/>
      <c r="E504" s="40">
        <f t="array" ref="E504">IFERROR(_xlfn.XLOOKUP('Lançamentos'!$D504,Planilha1!$B$2:$B$35,Planilha1!$C$2:$C$35),0)</f>
        <v>0</v>
      </c>
      <c r="F504" s="84"/>
      <c r="G504" s="43" t="b">
        <v>0</v>
      </c>
      <c r="H504" s="45" t="str">
        <f>IF(AND('Análise'!$G$7="Pago",'Lançamentos'!$G504=TRUE),'Lançamentos'!$F504,IF(AND('Análise'!$G$7="Em Aberto",'Lançamentos'!$G504=FALSE),'Lançamentos'!$F504,IF('Análise'!$G$7="Todos",'Lançamentos'!$F504,0)))</f>
        <v/>
      </c>
    </row>
    <row r="505" ht="15.75" customHeight="1">
      <c r="B505" s="52"/>
      <c r="C505" s="27" t="str">
        <f>IF('Lançamentos'!$B505&lt;&gt;"",YEAR('Lançamentos'!$B505)*100+MONTH(B505),"")</f>
        <v/>
      </c>
      <c r="D505" s="83"/>
      <c r="E505" s="40">
        <f t="array" ref="E505">IFERROR(_xlfn.XLOOKUP('Lançamentos'!$D505,Planilha1!$B$2:$B$35,Planilha1!$C$2:$C$35),0)</f>
        <v>0</v>
      </c>
      <c r="F505" s="84"/>
      <c r="G505" s="43" t="b">
        <v>0</v>
      </c>
      <c r="H505" s="45" t="str">
        <f>IF(AND('Análise'!$G$7="Pago",'Lançamentos'!$G505=TRUE),'Lançamentos'!$F505,IF(AND('Análise'!$G$7="Em Aberto",'Lançamentos'!$G505=FALSE),'Lançamentos'!$F505,IF('Análise'!$G$7="Todos",'Lançamentos'!$F505,0)))</f>
        <v/>
      </c>
    </row>
    <row r="506" ht="15.75" customHeight="1">
      <c r="B506" s="52"/>
      <c r="C506" s="27" t="str">
        <f>IF('Lançamentos'!$B506&lt;&gt;"",YEAR('Lançamentos'!$B506)*100+MONTH(B506),"")</f>
        <v/>
      </c>
      <c r="D506" s="83"/>
      <c r="E506" s="40">
        <f t="array" ref="E506">IFERROR(_xlfn.XLOOKUP('Lançamentos'!$D506,Planilha1!$B$2:$B$35,Planilha1!$C$2:$C$35),0)</f>
        <v>0</v>
      </c>
      <c r="F506" s="84"/>
      <c r="G506" s="43" t="b">
        <v>0</v>
      </c>
      <c r="H506" s="45" t="str">
        <f>IF(AND('Análise'!$G$7="Pago",'Lançamentos'!$G506=TRUE),'Lançamentos'!$F506,IF(AND('Análise'!$G$7="Em Aberto",'Lançamentos'!$G506=FALSE),'Lançamentos'!$F506,IF('Análise'!$G$7="Todos",'Lançamentos'!$F506,0)))</f>
        <v/>
      </c>
    </row>
    <row r="507" ht="15.75" customHeight="1">
      <c r="B507" s="52"/>
      <c r="C507" s="27" t="str">
        <f>IF('Lançamentos'!$B507&lt;&gt;"",YEAR('Lançamentos'!$B507)*100+MONTH(B507),"")</f>
        <v/>
      </c>
      <c r="D507" s="83"/>
      <c r="E507" s="40">
        <f t="array" ref="E507">IFERROR(_xlfn.XLOOKUP('Lançamentos'!$D507,Planilha1!$B$2:$B$35,Planilha1!$C$2:$C$35),0)</f>
        <v>0</v>
      </c>
      <c r="F507" s="84"/>
      <c r="G507" s="43" t="b">
        <v>0</v>
      </c>
      <c r="H507" s="45" t="str">
        <f>IF(AND('Análise'!$G$7="Pago",'Lançamentos'!$G507=TRUE),'Lançamentos'!$F507,IF(AND('Análise'!$G$7="Em Aberto",'Lançamentos'!$G507=FALSE),'Lançamentos'!$F507,IF('Análise'!$G$7="Todos",'Lançamentos'!$F507,0)))</f>
        <v/>
      </c>
    </row>
    <row r="508" ht="15.75" customHeight="1">
      <c r="B508" s="52"/>
      <c r="C508" s="27" t="str">
        <f>IF('Lançamentos'!$B508&lt;&gt;"",YEAR('Lançamentos'!$B508)*100+MONTH(B508),"")</f>
        <v/>
      </c>
      <c r="D508" s="83"/>
      <c r="E508" s="40">
        <f t="array" ref="E508">IFERROR(_xlfn.XLOOKUP('Lançamentos'!$D508,Planilha1!$B$2:$B$35,Planilha1!$C$2:$C$35),0)</f>
        <v>0</v>
      </c>
      <c r="F508" s="84"/>
      <c r="G508" s="43" t="b">
        <v>0</v>
      </c>
      <c r="H508" s="45" t="str">
        <f>IF(AND('Análise'!$G$7="Pago",'Lançamentos'!$G508=TRUE),'Lançamentos'!$F508,IF(AND('Análise'!$G$7="Em Aberto",'Lançamentos'!$G508=FALSE),'Lançamentos'!$F508,IF('Análise'!$G$7="Todos",'Lançamentos'!$F508,0)))</f>
        <v/>
      </c>
    </row>
    <row r="509" ht="15.75" customHeight="1">
      <c r="B509" s="52"/>
      <c r="C509" s="27" t="str">
        <f>IF('Lançamentos'!$B509&lt;&gt;"",YEAR('Lançamentos'!$B509)*100+MONTH(B509),"")</f>
        <v/>
      </c>
      <c r="D509" s="83"/>
      <c r="E509" s="40">
        <f t="array" ref="E509">IFERROR(_xlfn.XLOOKUP('Lançamentos'!$D509,Planilha1!$B$2:$B$35,Planilha1!$C$2:$C$35),0)</f>
        <v>0</v>
      </c>
      <c r="F509" s="84"/>
      <c r="G509" s="43" t="b">
        <v>0</v>
      </c>
      <c r="H509" s="45" t="str">
        <f>IF(AND('Análise'!$G$7="Pago",'Lançamentos'!$G509=TRUE),'Lançamentos'!$F509,IF(AND('Análise'!$G$7="Em Aberto",'Lançamentos'!$G509=FALSE),'Lançamentos'!$F509,IF('Análise'!$G$7="Todos",'Lançamentos'!$F509,0)))</f>
        <v/>
      </c>
    </row>
    <row r="510" ht="15.75" customHeight="1">
      <c r="B510" s="52"/>
      <c r="C510" s="27" t="str">
        <f>IF('Lançamentos'!$B510&lt;&gt;"",YEAR('Lançamentos'!$B510)*100+MONTH(B510),"")</f>
        <v/>
      </c>
      <c r="D510" s="83"/>
      <c r="E510" s="40">
        <f t="array" ref="E510">IFERROR(_xlfn.XLOOKUP('Lançamentos'!$D510,Planilha1!$B$2:$B$35,Planilha1!$C$2:$C$35),0)</f>
        <v>0</v>
      </c>
      <c r="F510" s="84"/>
      <c r="G510" s="43" t="b">
        <v>0</v>
      </c>
      <c r="H510" s="45" t="str">
        <f>IF(AND('Análise'!$G$7="Pago",'Lançamentos'!$G510=TRUE),'Lançamentos'!$F510,IF(AND('Análise'!$G$7="Em Aberto",'Lançamentos'!$G510=FALSE),'Lançamentos'!$F510,IF('Análise'!$G$7="Todos",'Lançamentos'!$F510,0)))</f>
        <v/>
      </c>
    </row>
    <row r="511" ht="15.75" customHeight="1">
      <c r="B511" s="52"/>
      <c r="C511" s="27" t="str">
        <f>IF('Lançamentos'!$B511&lt;&gt;"",YEAR('Lançamentos'!$B511)*100+MONTH(B511),"")</f>
        <v/>
      </c>
      <c r="D511" s="83"/>
      <c r="E511" s="40">
        <f t="array" ref="E511">IFERROR(_xlfn.XLOOKUP('Lançamentos'!$D511,Planilha1!$B$2:$B$35,Planilha1!$C$2:$C$35),0)</f>
        <v>0</v>
      </c>
      <c r="F511" s="84"/>
      <c r="G511" s="43" t="b">
        <v>0</v>
      </c>
      <c r="H511" s="45" t="str">
        <f>IF(AND('Análise'!$G$7="Pago",'Lançamentos'!$G511=TRUE),'Lançamentos'!$F511,IF(AND('Análise'!$G$7="Em Aberto",'Lançamentos'!$G511=FALSE),'Lançamentos'!$F511,IF('Análise'!$G$7="Todos",'Lançamentos'!$F511,0)))</f>
        <v/>
      </c>
    </row>
    <row r="512" ht="15.75" customHeight="1">
      <c r="B512" s="52"/>
      <c r="C512" s="27" t="str">
        <f>IF('Lançamentos'!$B512&lt;&gt;"",YEAR('Lançamentos'!$B512)*100+MONTH(B512),"")</f>
        <v/>
      </c>
      <c r="D512" s="83"/>
      <c r="E512" s="40">
        <f t="array" ref="E512">IFERROR(_xlfn.XLOOKUP('Lançamentos'!$D512,Planilha1!$B$2:$B$35,Planilha1!$C$2:$C$35),0)</f>
        <v>0</v>
      </c>
      <c r="F512" s="84"/>
      <c r="G512" s="43" t="b">
        <v>0</v>
      </c>
      <c r="H512" s="45" t="str">
        <f>IF(AND('Análise'!$G$7="Pago",'Lançamentos'!$G512=TRUE),'Lançamentos'!$F512,IF(AND('Análise'!$G$7="Em Aberto",'Lançamentos'!$G512=FALSE),'Lançamentos'!$F512,IF('Análise'!$G$7="Todos",'Lançamentos'!$F512,0)))</f>
        <v/>
      </c>
    </row>
    <row r="513" ht="15.75" customHeight="1">
      <c r="B513" s="52"/>
      <c r="C513" s="27" t="str">
        <f>IF('Lançamentos'!$B513&lt;&gt;"",YEAR('Lançamentos'!$B513)*100+MONTH(B513),"")</f>
        <v/>
      </c>
      <c r="D513" s="83"/>
      <c r="E513" s="40">
        <f t="array" ref="E513">IFERROR(_xlfn.XLOOKUP('Lançamentos'!$D513,Planilha1!$B$2:$B$35,Planilha1!$C$2:$C$35),0)</f>
        <v>0</v>
      </c>
      <c r="F513" s="84"/>
      <c r="G513" s="43" t="b">
        <v>0</v>
      </c>
      <c r="H513" s="45" t="str">
        <f>IF(AND('Análise'!$G$7="Pago",'Lançamentos'!$G513=TRUE),'Lançamentos'!$F513,IF(AND('Análise'!$G$7="Em Aberto",'Lançamentos'!$G513=FALSE),'Lançamentos'!$F513,IF('Análise'!$G$7="Todos",'Lançamentos'!$F513,0)))</f>
        <v/>
      </c>
    </row>
    <row r="514" ht="15.75" customHeight="1">
      <c r="B514" s="52"/>
      <c r="C514" s="27" t="str">
        <f>IF('Lançamentos'!$B514&lt;&gt;"",YEAR('Lançamentos'!$B514)*100+MONTH(B514),"")</f>
        <v/>
      </c>
      <c r="D514" s="83"/>
      <c r="E514" s="40">
        <f t="array" ref="E514">IFERROR(_xlfn.XLOOKUP('Lançamentos'!$D514,Planilha1!$B$2:$B$35,Planilha1!$C$2:$C$35),0)</f>
        <v>0</v>
      </c>
      <c r="F514" s="84"/>
      <c r="G514" s="43" t="b">
        <v>0</v>
      </c>
      <c r="H514" s="45" t="str">
        <f>IF(AND('Análise'!$G$7="Pago",'Lançamentos'!$G514=TRUE),'Lançamentos'!$F514,IF(AND('Análise'!$G$7="Em Aberto",'Lançamentos'!$G514=FALSE),'Lançamentos'!$F514,IF('Análise'!$G$7="Todos",'Lançamentos'!$F514,0)))</f>
        <v/>
      </c>
    </row>
    <row r="515" ht="15.75" customHeight="1">
      <c r="B515" s="52"/>
      <c r="C515" s="27" t="str">
        <f>IF('Lançamentos'!$B515&lt;&gt;"",YEAR('Lançamentos'!$B515)*100+MONTH(B515),"")</f>
        <v/>
      </c>
      <c r="D515" s="83"/>
      <c r="E515" s="40">
        <f t="array" ref="E515">IFERROR(_xlfn.XLOOKUP('Lançamentos'!$D515,Planilha1!$B$2:$B$35,Planilha1!$C$2:$C$35),0)</f>
        <v>0</v>
      </c>
      <c r="F515" s="84"/>
      <c r="G515" s="43" t="b">
        <v>0</v>
      </c>
      <c r="H515" s="45" t="str">
        <f>IF(AND('Análise'!$G$7="Pago",'Lançamentos'!$G515=TRUE),'Lançamentos'!$F515,IF(AND('Análise'!$G$7="Em Aberto",'Lançamentos'!$G515=FALSE),'Lançamentos'!$F515,IF('Análise'!$G$7="Todos",'Lançamentos'!$F515,0)))</f>
        <v/>
      </c>
    </row>
    <row r="516" ht="15.75" customHeight="1">
      <c r="B516" s="52"/>
      <c r="C516" s="27" t="str">
        <f>IF('Lançamentos'!$B516&lt;&gt;"",YEAR('Lançamentos'!$B516)*100+MONTH(B516),"")</f>
        <v/>
      </c>
      <c r="D516" s="83"/>
      <c r="E516" s="40">
        <f t="array" ref="E516">IFERROR(_xlfn.XLOOKUP('Lançamentos'!$D516,Planilha1!$B$2:$B$35,Planilha1!$C$2:$C$35),0)</f>
        <v>0</v>
      </c>
      <c r="F516" s="84"/>
      <c r="G516" s="43" t="b">
        <v>0</v>
      </c>
      <c r="H516" s="45" t="str">
        <f>IF(AND('Análise'!$G$7="Pago",'Lançamentos'!$G516=TRUE),'Lançamentos'!$F516,IF(AND('Análise'!$G$7="Em Aberto",'Lançamentos'!$G516=FALSE),'Lançamentos'!$F516,IF('Análise'!$G$7="Todos",'Lançamentos'!$F516,0)))</f>
        <v/>
      </c>
    </row>
    <row r="517" ht="15.75" customHeight="1">
      <c r="B517" s="52"/>
      <c r="C517" s="27" t="str">
        <f>IF('Lançamentos'!$B517&lt;&gt;"",YEAR('Lançamentos'!$B517)*100+MONTH(B517),"")</f>
        <v/>
      </c>
      <c r="D517" s="83"/>
      <c r="E517" s="40">
        <f t="array" ref="E517">IFERROR(_xlfn.XLOOKUP('Lançamentos'!$D517,Planilha1!$B$2:$B$35,Planilha1!$C$2:$C$35),0)</f>
        <v>0</v>
      </c>
      <c r="F517" s="84"/>
      <c r="G517" s="43" t="b">
        <v>0</v>
      </c>
      <c r="H517" s="45" t="str">
        <f>IF(AND('Análise'!$G$7="Pago",'Lançamentos'!$G517=TRUE),'Lançamentos'!$F517,IF(AND('Análise'!$G$7="Em Aberto",'Lançamentos'!$G517=FALSE),'Lançamentos'!$F517,IF('Análise'!$G$7="Todos",'Lançamentos'!$F517,0)))</f>
        <v/>
      </c>
    </row>
    <row r="518" ht="15.75" customHeight="1">
      <c r="B518" s="52"/>
      <c r="C518" s="27" t="str">
        <f>IF('Lançamentos'!$B518&lt;&gt;"",YEAR('Lançamentos'!$B518)*100+MONTH(B518),"")</f>
        <v/>
      </c>
      <c r="D518" s="83"/>
      <c r="E518" s="40">
        <f t="array" ref="E518">IFERROR(_xlfn.XLOOKUP('Lançamentos'!$D518,Planilha1!$B$2:$B$35,Planilha1!$C$2:$C$35),0)</f>
        <v>0</v>
      </c>
      <c r="F518" s="84"/>
      <c r="G518" s="43" t="b">
        <v>0</v>
      </c>
      <c r="H518" s="45" t="str">
        <f>IF(AND('Análise'!$G$7="Pago",'Lançamentos'!$G518=TRUE),'Lançamentos'!$F518,IF(AND('Análise'!$G$7="Em Aberto",'Lançamentos'!$G518=FALSE),'Lançamentos'!$F518,IF('Análise'!$G$7="Todos",'Lançamentos'!$F518,0)))</f>
        <v/>
      </c>
    </row>
    <row r="519" ht="15.75" customHeight="1">
      <c r="B519" s="52"/>
      <c r="C519" s="27" t="str">
        <f>IF('Lançamentos'!$B519&lt;&gt;"",YEAR('Lançamentos'!$B519)*100+MONTH(B519),"")</f>
        <v/>
      </c>
      <c r="D519" s="83"/>
      <c r="E519" s="40">
        <f t="array" ref="E519">IFERROR(_xlfn.XLOOKUP('Lançamentos'!$D519,Planilha1!$B$2:$B$35,Planilha1!$C$2:$C$35),0)</f>
        <v>0</v>
      </c>
      <c r="F519" s="84"/>
      <c r="G519" s="43" t="b">
        <v>0</v>
      </c>
      <c r="H519" s="45" t="str">
        <f>IF(AND('Análise'!$G$7="Pago",'Lançamentos'!$G519=TRUE),'Lançamentos'!$F519,IF(AND('Análise'!$G$7="Em Aberto",'Lançamentos'!$G519=FALSE),'Lançamentos'!$F519,IF('Análise'!$G$7="Todos",'Lançamentos'!$F519,0)))</f>
        <v/>
      </c>
    </row>
    <row r="520" ht="15.75" customHeight="1">
      <c r="B520" s="52"/>
      <c r="C520" s="27" t="str">
        <f>IF('Lançamentos'!$B520&lt;&gt;"",YEAR('Lançamentos'!$B520)*100+MONTH(B520),"")</f>
        <v/>
      </c>
      <c r="D520" s="83"/>
      <c r="E520" s="40">
        <f t="array" ref="E520">IFERROR(_xlfn.XLOOKUP('Lançamentos'!$D520,Planilha1!$B$2:$B$35,Planilha1!$C$2:$C$35),0)</f>
        <v>0</v>
      </c>
      <c r="F520" s="84"/>
      <c r="G520" s="43" t="b">
        <v>0</v>
      </c>
      <c r="H520" s="45" t="str">
        <f>IF(AND('Análise'!$G$7="Pago",'Lançamentos'!$G520=TRUE),'Lançamentos'!$F520,IF(AND('Análise'!$G$7="Em Aberto",'Lançamentos'!$G520=FALSE),'Lançamentos'!$F520,IF('Análise'!$G$7="Todos",'Lançamentos'!$F520,0)))</f>
        <v/>
      </c>
    </row>
    <row r="521" ht="15.75" customHeight="1">
      <c r="B521" s="52"/>
      <c r="C521" s="27" t="str">
        <f>IF('Lançamentos'!$B521&lt;&gt;"",YEAR('Lançamentos'!$B521)*100+MONTH(B521),"")</f>
        <v/>
      </c>
      <c r="D521" s="83"/>
      <c r="E521" s="40">
        <f t="array" ref="E521">IFERROR(_xlfn.XLOOKUP('Lançamentos'!$D521,Planilha1!$B$2:$B$35,Planilha1!$C$2:$C$35),0)</f>
        <v>0</v>
      </c>
      <c r="F521" s="84"/>
      <c r="G521" s="43" t="b">
        <v>0</v>
      </c>
      <c r="H521" s="45" t="str">
        <f>IF(AND('Análise'!$G$7="Pago",'Lançamentos'!$G521=TRUE),'Lançamentos'!$F521,IF(AND('Análise'!$G$7="Em Aberto",'Lançamentos'!$G521=FALSE),'Lançamentos'!$F521,IF('Análise'!$G$7="Todos",'Lançamentos'!$F521,0)))</f>
        <v/>
      </c>
    </row>
    <row r="522" ht="15.75" customHeight="1">
      <c r="B522" s="52"/>
      <c r="C522" s="27" t="str">
        <f>IF('Lançamentos'!$B522&lt;&gt;"",YEAR('Lançamentos'!$B522)*100+MONTH(B522),"")</f>
        <v/>
      </c>
      <c r="D522" s="83"/>
      <c r="E522" s="40">
        <f t="array" ref="E522">IFERROR(_xlfn.XLOOKUP('Lançamentos'!$D522,Planilha1!$B$2:$B$35,Planilha1!$C$2:$C$35),0)</f>
        <v>0</v>
      </c>
      <c r="F522" s="84"/>
      <c r="G522" s="43" t="b">
        <v>0</v>
      </c>
      <c r="H522" s="45" t="str">
        <f>IF(AND('Análise'!$G$7="Pago",'Lançamentos'!$G522=TRUE),'Lançamentos'!$F522,IF(AND('Análise'!$G$7="Em Aberto",'Lançamentos'!$G522=FALSE),'Lançamentos'!$F522,IF('Análise'!$G$7="Todos",'Lançamentos'!$F522,0)))</f>
        <v/>
      </c>
    </row>
    <row r="523" ht="15.75" customHeight="1">
      <c r="B523" s="52"/>
      <c r="C523" s="27" t="str">
        <f>IF('Lançamentos'!$B523&lt;&gt;"",YEAR('Lançamentos'!$B523)*100+MONTH(B523),"")</f>
        <v/>
      </c>
      <c r="D523" s="83"/>
      <c r="E523" s="40">
        <f t="array" ref="E523">IFERROR(_xlfn.XLOOKUP('Lançamentos'!$D523,Planilha1!$B$2:$B$35,Planilha1!$C$2:$C$35),0)</f>
        <v>0</v>
      </c>
      <c r="F523" s="84"/>
      <c r="G523" s="43" t="b">
        <v>0</v>
      </c>
      <c r="H523" s="45" t="str">
        <f>IF(AND('Análise'!$G$7="Pago",'Lançamentos'!$G523=TRUE),'Lançamentos'!$F523,IF(AND('Análise'!$G$7="Em Aberto",'Lançamentos'!$G523=FALSE),'Lançamentos'!$F523,IF('Análise'!$G$7="Todos",'Lançamentos'!$F523,0)))</f>
        <v/>
      </c>
    </row>
    <row r="524" ht="15.75" customHeight="1">
      <c r="B524" s="52"/>
      <c r="C524" s="27" t="str">
        <f>IF('Lançamentos'!$B524&lt;&gt;"",YEAR('Lançamentos'!$B524)*100+MONTH(B524),"")</f>
        <v/>
      </c>
      <c r="D524" s="83"/>
      <c r="E524" s="40">
        <f t="array" ref="E524">IFERROR(_xlfn.XLOOKUP('Lançamentos'!$D524,Planilha1!$B$2:$B$35,Planilha1!$C$2:$C$35),0)</f>
        <v>0</v>
      </c>
      <c r="F524" s="84"/>
      <c r="G524" s="43" t="b">
        <v>0</v>
      </c>
      <c r="H524" s="45" t="str">
        <f>IF(AND('Análise'!$G$7="Pago",'Lançamentos'!$G524=TRUE),'Lançamentos'!$F524,IF(AND('Análise'!$G$7="Em Aberto",'Lançamentos'!$G524=FALSE),'Lançamentos'!$F524,IF('Análise'!$G$7="Todos",'Lançamentos'!$F524,0)))</f>
        <v/>
      </c>
    </row>
    <row r="525" ht="15.75" customHeight="1">
      <c r="B525" s="52"/>
      <c r="C525" s="27" t="str">
        <f>IF('Lançamentos'!$B525&lt;&gt;"",YEAR('Lançamentos'!$B525)*100+MONTH(B525),"")</f>
        <v/>
      </c>
      <c r="D525" s="83"/>
      <c r="E525" s="40">
        <f t="array" ref="E525">IFERROR(_xlfn.XLOOKUP('Lançamentos'!$D525,Planilha1!$B$2:$B$35,Planilha1!$C$2:$C$35),0)</f>
        <v>0</v>
      </c>
      <c r="F525" s="84"/>
      <c r="G525" s="43" t="b">
        <v>0</v>
      </c>
      <c r="H525" s="45" t="str">
        <f>IF(AND('Análise'!$G$7="Pago",'Lançamentos'!$G525=TRUE),'Lançamentos'!$F525,IF(AND('Análise'!$G$7="Em Aberto",'Lançamentos'!$G525=FALSE),'Lançamentos'!$F525,IF('Análise'!$G$7="Todos",'Lançamentos'!$F525,0)))</f>
        <v/>
      </c>
    </row>
    <row r="526" ht="15.75" customHeight="1">
      <c r="B526" s="52"/>
      <c r="C526" s="27" t="str">
        <f>IF('Lançamentos'!$B526&lt;&gt;"",YEAR('Lançamentos'!$B526)*100+MONTH(B526),"")</f>
        <v/>
      </c>
      <c r="D526" s="83"/>
      <c r="E526" s="40">
        <f t="array" ref="E526">IFERROR(_xlfn.XLOOKUP('Lançamentos'!$D526,Planilha1!$B$2:$B$35,Planilha1!$C$2:$C$35),0)</f>
        <v>0</v>
      </c>
      <c r="F526" s="84"/>
      <c r="G526" s="43" t="b">
        <v>0</v>
      </c>
      <c r="H526" s="45" t="str">
        <f>IF(AND('Análise'!$G$7="Pago",'Lançamentos'!$G526=TRUE),'Lançamentos'!$F526,IF(AND('Análise'!$G$7="Em Aberto",'Lançamentos'!$G526=FALSE),'Lançamentos'!$F526,IF('Análise'!$G$7="Todos",'Lançamentos'!$F526,0)))</f>
        <v/>
      </c>
    </row>
    <row r="527" ht="15.75" customHeight="1">
      <c r="B527" s="52"/>
      <c r="C527" s="27" t="str">
        <f>IF('Lançamentos'!$B527&lt;&gt;"",YEAR('Lançamentos'!$B527)*100+MONTH(B527),"")</f>
        <v/>
      </c>
      <c r="D527" s="83"/>
      <c r="E527" s="40">
        <f t="array" ref="E527">IFERROR(_xlfn.XLOOKUP('Lançamentos'!$D527,Planilha1!$B$2:$B$35,Planilha1!$C$2:$C$35),0)</f>
        <v>0</v>
      </c>
      <c r="F527" s="84"/>
      <c r="G527" s="43" t="b">
        <v>0</v>
      </c>
      <c r="H527" s="45" t="str">
        <f>IF(AND('Análise'!$G$7="Pago",'Lançamentos'!$G527=TRUE),'Lançamentos'!$F527,IF(AND('Análise'!$G$7="Em Aberto",'Lançamentos'!$G527=FALSE),'Lançamentos'!$F527,IF('Análise'!$G$7="Todos",'Lançamentos'!$F527,0)))</f>
        <v/>
      </c>
    </row>
    <row r="528" ht="15.75" customHeight="1">
      <c r="B528" s="52"/>
      <c r="C528" s="27" t="str">
        <f>IF('Lançamentos'!$B528&lt;&gt;"",YEAR('Lançamentos'!$B528)*100+MONTH(B528),"")</f>
        <v/>
      </c>
      <c r="D528" s="83"/>
      <c r="E528" s="40">
        <f t="array" ref="E528">IFERROR(_xlfn.XLOOKUP('Lançamentos'!$D528,Planilha1!$B$2:$B$35,Planilha1!$C$2:$C$35),0)</f>
        <v>0</v>
      </c>
      <c r="F528" s="84"/>
      <c r="G528" s="43" t="b">
        <v>0</v>
      </c>
      <c r="H528" s="45" t="str">
        <f>IF(AND('Análise'!$G$7="Pago",'Lançamentos'!$G528=TRUE),'Lançamentos'!$F528,IF(AND('Análise'!$G$7="Em Aberto",'Lançamentos'!$G528=FALSE),'Lançamentos'!$F528,IF('Análise'!$G$7="Todos",'Lançamentos'!$F528,0)))</f>
        <v/>
      </c>
    </row>
    <row r="529" ht="15.75" customHeight="1">
      <c r="B529" s="52"/>
      <c r="C529" s="27" t="str">
        <f>IF('Lançamentos'!$B529&lt;&gt;"",YEAR('Lançamentos'!$B529)*100+MONTH(B529),"")</f>
        <v/>
      </c>
      <c r="D529" s="83"/>
      <c r="E529" s="40">
        <f t="array" ref="E529">IFERROR(_xlfn.XLOOKUP('Lançamentos'!$D529,Planilha1!$B$2:$B$35,Planilha1!$C$2:$C$35),0)</f>
        <v>0</v>
      </c>
      <c r="F529" s="84"/>
      <c r="G529" s="43" t="b">
        <v>0</v>
      </c>
      <c r="H529" s="45" t="str">
        <f>IF(AND('Análise'!$G$7="Pago",'Lançamentos'!$G529=TRUE),'Lançamentos'!$F529,IF(AND('Análise'!$G$7="Em Aberto",'Lançamentos'!$G529=FALSE),'Lançamentos'!$F529,IF('Análise'!$G$7="Todos",'Lançamentos'!$F529,0)))</f>
        <v/>
      </c>
    </row>
    <row r="530" ht="15.75" customHeight="1">
      <c r="B530" s="52"/>
      <c r="C530" s="27" t="str">
        <f>IF('Lançamentos'!$B530&lt;&gt;"",YEAR('Lançamentos'!$B530)*100+MONTH(B530),"")</f>
        <v/>
      </c>
      <c r="D530" s="83"/>
      <c r="E530" s="40">
        <f t="array" ref="E530">IFERROR(_xlfn.XLOOKUP('Lançamentos'!$D530,Planilha1!$B$2:$B$35,Planilha1!$C$2:$C$35),0)</f>
        <v>0</v>
      </c>
      <c r="F530" s="84"/>
      <c r="G530" s="43" t="b">
        <v>0</v>
      </c>
      <c r="H530" s="45" t="str">
        <f>IF(AND('Análise'!$G$7="Pago",'Lançamentos'!$G530=TRUE),'Lançamentos'!$F530,IF(AND('Análise'!$G$7="Em Aberto",'Lançamentos'!$G530=FALSE),'Lançamentos'!$F530,IF('Análise'!$G$7="Todos",'Lançamentos'!$F530,0)))</f>
        <v/>
      </c>
    </row>
    <row r="531" ht="15.75" customHeight="1">
      <c r="B531" s="52"/>
      <c r="C531" s="27" t="str">
        <f>IF('Lançamentos'!$B531&lt;&gt;"",YEAR('Lançamentos'!$B531)*100+MONTH(B531),"")</f>
        <v/>
      </c>
      <c r="D531" s="83"/>
      <c r="E531" s="40">
        <f t="array" ref="E531">IFERROR(_xlfn.XLOOKUP('Lançamentos'!$D531,Planilha1!$B$2:$B$35,Planilha1!$C$2:$C$35),0)</f>
        <v>0</v>
      </c>
      <c r="F531" s="84"/>
      <c r="G531" s="43" t="b">
        <v>0</v>
      </c>
      <c r="H531" s="45" t="str">
        <f>IF(AND('Análise'!$G$7="Pago",'Lançamentos'!$G531=TRUE),'Lançamentos'!$F531,IF(AND('Análise'!$G$7="Em Aberto",'Lançamentos'!$G531=FALSE),'Lançamentos'!$F531,IF('Análise'!$G$7="Todos",'Lançamentos'!$F531,0)))</f>
        <v/>
      </c>
    </row>
    <row r="532" ht="15.75" customHeight="1">
      <c r="B532" s="52"/>
      <c r="C532" s="27" t="str">
        <f>IF('Lançamentos'!$B532&lt;&gt;"",YEAR('Lançamentos'!$B532)*100+MONTH(B532),"")</f>
        <v/>
      </c>
      <c r="D532" s="83"/>
      <c r="E532" s="40">
        <f t="array" ref="E532">IFERROR(_xlfn.XLOOKUP('Lançamentos'!$D532,Planilha1!$B$2:$B$35,Planilha1!$C$2:$C$35),0)</f>
        <v>0</v>
      </c>
      <c r="F532" s="84"/>
      <c r="G532" s="43" t="b">
        <v>0</v>
      </c>
      <c r="H532" s="45" t="str">
        <f>IF(AND('Análise'!$G$7="Pago",'Lançamentos'!$G532=TRUE),'Lançamentos'!$F532,IF(AND('Análise'!$G$7="Em Aberto",'Lançamentos'!$G532=FALSE),'Lançamentos'!$F532,IF('Análise'!$G$7="Todos",'Lançamentos'!$F532,0)))</f>
        <v/>
      </c>
    </row>
    <row r="533" ht="15.75" customHeight="1">
      <c r="B533" s="52"/>
      <c r="C533" s="27" t="str">
        <f>IF('Lançamentos'!$B533&lt;&gt;"",YEAR('Lançamentos'!$B533)*100+MONTH(B533),"")</f>
        <v/>
      </c>
      <c r="D533" s="83"/>
      <c r="E533" s="40">
        <f t="array" ref="E533">IFERROR(_xlfn.XLOOKUP('Lançamentos'!$D533,Planilha1!$B$2:$B$35,Planilha1!$C$2:$C$35),0)</f>
        <v>0</v>
      </c>
      <c r="F533" s="84"/>
      <c r="G533" s="43" t="b">
        <v>0</v>
      </c>
      <c r="H533" s="45" t="str">
        <f>IF(AND('Análise'!$G$7="Pago",'Lançamentos'!$G533=TRUE),'Lançamentos'!$F533,IF(AND('Análise'!$G$7="Em Aberto",'Lançamentos'!$G533=FALSE),'Lançamentos'!$F533,IF('Análise'!$G$7="Todos",'Lançamentos'!$F533,0)))</f>
        <v/>
      </c>
    </row>
    <row r="534" ht="15.75" customHeight="1">
      <c r="B534" s="52"/>
      <c r="C534" s="27" t="str">
        <f>IF('Lançamentos'!$B534&lt;&gt;"",YEAR('Lançamentos'!$B534)*100+MONTH(B534),"")</f>
        <v/>
      </c>
      <c r="D534" s="83"/>
      <c r="E534" s="40">
        <f t="array" ref="E534">IFERROR(_xlfn.XLOOKUP('Lançamentos'!$D534,Planilha1!$B$2:$B$35,Planilha1!$C$2:$C$35),0)</f>
        <v>0</v>
      </c>
      <c r="F534" s="84"/>
      <c r="G534" s="43" t="b">
        <v>0</v>
      </c>
      <c r="H534" s="45" t="str">
        <f>IF(AND('Análise'!$G$7="Pago",'Lançamentos'!$G534=TRUE),'Lançamentos'!$F534,IF(AND('Análise'!$G$7="Em Aberto",'Lançamentos'!$G534=FALSE),'Lançamentos'!$F534,IF('Análise'!$G$7="Todos",'Lançamentos'!$F534,0)))</f>
        <v/>
      </c>
    </row>
    <row r="535" ht="15.75" customHeight="1">
      <c r="B535" s="52"/>
      <c r="C535" s="27" t="str">
        <f>IF('Lançamentos'!$B535&lt;&gt;"",YEAR('Lançamentos'!$B535)*100+MONTH(B535),"")</f>
        <v/>
      </c>
      <c r="D535" s="83"/>
      <c r="E535" s="40">
        <f t="array" ref="E535">IFERROR(_xlfn.XLOOKUP('Lançamentos'!$D535,Planilha1!$B$2:$B$35,Planilha1!$C$2:$C$35),0)</f>
        <v>0</v>
      </c>
      <c r="F535" s="84"/>
      <c r="G535" s="43" t="b">
        <v>0</v>
      </c>
      <c r="H535" s="45" t="str">
        <f>IF(AND('Análise'!$G$7="Pago",'Lançamentos'!$G535=TRUE),'Lançamentos'!$F535,IF(AND('Análise'!$G$7="Em Aberto",'Lançamentos'!$G535=FALSE),'Lançamentos'!$F535,IF('Análise'!$G$7="Todos",'Lançamentos'!$F535,0)))</f>
        <v/>
      </c>
    </row>
    <row r="536" ht="15.75" customHeight="1">
      <c r="B536" s="52"/>
      <c r="C536" s="27" t="str">
        <f>IF('Lançamentos'!$B536&lt;&gt;"",YEAR('Lançamentos'!$B536)*100+MONTH(B536),"")</f>
        <v/>
      </c>
      <c r="D536" s="83"/>
      <c r="E536" s="40">
        <f t="array" ref="E536">IFERROR(_xlfn.XLOOKUP('Lançamentos'!$D536,Planilha1!$B$2:$B$35,Planilha1!$C$2:$C$35),0)</f>
        <v>0</v>
      </c>
      <c r="F536" s="84"/>
      <c r="G536" s="43" t="b">
        <v>0</v>
      </c>
      <c r="H536" s="45" t="str">
        <f>IF(AND('Análise'!$G$7="Pago",'Lançamentos'!$G536=TRUE),'Lançamentos'!$F536,IF(AND('Análise'!$G$7="Em Aberto",'Lançamentos'!$G536=FALSE),'Lançamentos'!$F536,IF('Análise'!$G$7="Todos",'Lançamentos'!$F536,0)))</f>
        <v/>
      </c>
    </row>
    <row r="537" ht="15.75" customHeight="1">
      <c r="B537" s="52"/>
      <c r="C537" s="27" t="str">
        <f>IF('Lançamentos'!$B537&lt;&gt;"",YEAR('Lançamentos'!$B537)*100+MONTH(B537),"")</f>
        <v/>
      </c>
      <c r="D537" s="83"/>
      <c r="E537" s="40">
        <f t="array" ref="E537">IFERROR(_xlfn.XLOOKUP('Lançamentos'!$D537,Planilha1!$B$2:$B$35,Planilha1!$C$2:$C$35),0)</f>
        <v>0</v>
      </c>
      <c r="F537" s="84"/>
      <c r="G537" s="43" t="b">
        <v>0</v>
      </c>
      <c r="H537" s="45" t="str">
        <f>IF(AND('Análise'!$G$7="Pago",'Lançamentos'!$G537=TRUE),'Lançamentos'!$F537,IF(AND('Análise'!$G$7="Em Aberto",'Lançamentos'!$G537=FALSE),'Lançamentos'!$F537,IF('Análise'!$G$7="Todos",'Lançamentos'!$F537,0)))</f>
        <v/>
      </c>
    </row>
    <row r="538" ht="15.75" customHeight="1">
      <c r="B538" s="52"/>
      <c r="C538" s="27" t="str">
        <f>IF('Lançamentos'!$B538&lt;&gt;"",YEAR('Lançamentos'!$B538)*100+MONTH(B538),"")</f>
        <v/>
      </c>
      <c r="D538" s="83"/>
      <c r="E538" s="40">
        <f t="array" ref="E538">IFERROR(_xlfn.XLOOKUP('Lançamentos'!$D538,Planilha1!$B$2:$B$35,Planilha1!$C$2:$C$35),0)</f>
        <v>0</v>
      </c>
      <c r="F538" s="84"/>
      <c r="G538" s="43" t="b">
        <v>0</v>
      </c>
      <c r="H538" s="45" t="str">
        <f>IF(AND('Análise'!$G$7="Pago",'Lançamentos'!$G538=TRUE),'Lançamentos'!$F538,IF(AND('Análise'!$G$7="Em Aberto",'Lançamentos'!$G538=FALSE),'Lançamentos'!$F538,IF('Análise'!$G$7="Todos",'Lançamentos'!$F538,0)))</f>
        <v/>
      </c>
    </row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6:F538">
    <cfRule type="expression" dxfId="11" priority="1">
      <formula>E6="S"</formula>
    </cfRule>
  </conditionalFormatting>
  <conditionalFormatting sqref="F6:F538">
    <cfRule type="expression" dxfId="12" priority="2">
      <formula>E6="E"</formula>
    </cfRule>
  </conditionalFormatting>
  <conditionalFormatting sqref="F5:G5 G6:G538">
    <cfRule type="expression" dxfId="11" priority="3">
      <formula>E5="S"</formula>
    </cfRule>
  </conditionalFormatting>
  <conditionalFormatting sqref="F5:G5 G6:G538">
    <cfRule type="expression" dxfId="12" priority="4">
      <formula>E5="E"</formula>
    </cfRule>
  </conditionalFormatting>
  <dataValidations>
    <dataValidation type="list" allowBlank="1" showErrorMessage="1" sqref="D5:D538">
      <formula1>Planilha1!$B$2:$B$35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25"/>
    <col customWidth="1" min="2" max="2" width="33.88"/>
    <col customWidth="1" min="3" max="3" width="40.75"/>
    <col customWidth="1" min="4" max="26" width="8.88"/>
  </cols>
  <sheetData>
    <row r="2">
      <c r="A2" s="28"/>
    </row>
    <row r="5">
      <c r="B5" s="29" t="s">
        <v>168</v>
      </c>
      <c r="C5" s="31" t="s">
        <v>169</v>
      </c>
    </row>
    <row r="8">
      <c r="B8" s="32" t="s">
        <v>170</v>
      </c>
    </row>
    <row r="10">
      <c r="B10" s="33" t="s">
        <v>171</v>
      </c>
      <c r="C10" s="34" t="s">
        <v>172</v>
      </c>
    </row>
    <row r="11">
      <c r="B11" s="35" t="s">
        <v>174</v>
      </c>
      <c r="C11" s="36" t="s">
        <v>175</v>
      </c>
    </row>
    <row r="12">
      <c r="B12" s="37" t="s">
        <v>53</v>
      </c>
      <c r="C12" s="36" t="s">
        <v>176</v>
      </c>
    </row>
    <row r="13">
      <c r="B13" s="37" t="s">
        <v>177</v>
      </c>
      <c r="C13" s="36" t="s">
        <v>178</v>
      </c>
    </row>
    <row r="14">
      <c r="B14" s="37" t="s">
        <v>102</v>
      </c>
      <c r="C14" s="36" t="s">
        <v>179</v>
      </c>
    </row>
    <row r="15">
      <c r="B15" s="37" t="s">
        <v>142</v>
      </c>
      <c r="C15" s="38" t="s">
        <v>180</v>
      </c>
    </row>
    <row r="16">
      <c r="B16" s="37" t="s">
        <v>96</v>
      </c>
      <c r="C16" s="36" t="s">
        <v>181</v>
      </c>
    </row>
    <row r="17">
      <c r="B17" s="37" t="s">
        <v>182</v>
      </c>
      <c r="C17" s="36" t="s">
        <v>183</v>
      </c>
    </row>
    <row r="18">
      <c r="B18" s="37" t="s">
        <v>184</v>
      </c>
      <c r="C18" s="38" t="s">
        <v>185</v>
      </c>
    </row>
    <row r="19">
      <c r="B19" s="37" t="s">
        <v>186</v>
      </c>
      <c r="C19" s="36" t="s">
        <v>167</v>
      </c>
    </row>
    <row r="20">
      <c r="B20" s="37" t="s">
        <v>187</v>
      </c>
      <c r="C20" s="36" t="s">
        <v>188</v>
      </c>
    </row>
    <row r="21" ht="15.75" customHeight="1">
      <c r="B21" s="37" t="s">
        <v>189</v>
      </c>
      <c r="C21" s="36" t="s">
        <v>190</v>
      </c>
    </row>
    <row r="22" ht="15.75" customHeight="1">
      <c r="B22" s="37" t="s">
        <v>191</v>
      </c>
      <c r="C22" s="36" t="s">
        <v>192</v>
      </c>
    </row>
    <row r="23" ht="15.75" customHeight="1">
      <c r="B23" s="37" t="s">
        <v>193</v>
      </c>
      <c r="C23" s="36" t="s">
        <v>194</v>
      </c>
    </row>
    <row r="24" ht="15.75" customHeight="1">
      <c r="B24" s="37" t="s">
        <v>195</v>
      </c>
      <c r="C24" s="36" t="s">
        <v>196</v>
      </c>
    </row>
    <row r="25" ht="15.75" customHeight="1">
      <c r="B25" s="35" t="s">
        <v>30</v>
      </c>
      <c r="C25" s="36" t="s">
        <v>197</v>
      </c>
    </row>
    <row r="26" ht="15.75" customHeight="1">
      <c r="B26" s="35" t="s">
        <v>198</v>
      </c>
      <c r="C26" s="36" t="s">
        <v>199</v>
      </c>
    </row>
    <row r="27" ht="15.75" customHeight="1">
      <c r="B27" s="35" t="s">
        <v>200</v>
      </c>
      <c r="C27" s="36"/>
    </row>
    <row r="28" ht="15.75" customHeight="1">
      <c r="B28" s="35" t="s">
        <v>201</v>
      </c>
      <c r="C28" s="36" t="s">
        <v>202</v>
      </c>
    </row>
    <row r="29" ht="15.75" customHeight="1"/>
    <row r="30" ht="15.75" customHeight="1">
      <c r="B30" s="39" t="s">
        <v>203</v>
      </c>
      <c r="C30" s="41"/>
    </row>
    <row r="31" ht="15.75" customHeight="1">
      <c r="B31" s="39" t="s">
        <v>204</v>
      </c>
      <c r="C31" s="41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2:D2"/>
    <mergeCell ref="B8:C9"/>
    <mergeCell ref="B30:C30"/>
    <mergeCell ref="B31:C3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88"/>
    <col customWidth="1" min="2" max="2" width="30.25"/>
    <col customWidth="1" min="3" max="6" width="0.38"/>
    <col customWidth="1" min="7" max="21" width="11.38"/>
    <col customWidth="1" min="22" max="26" width="8.88"/>
  </cols>
  <sheetData>
    <row r="6">
      <c r="K6" s="2">
        <v>9.0</v>
      </c>
    </row>
    <row r="7">
      <c r="B7" s="44" t="s">
        <v>205</v>
      </c>
      <c r="C7" s="46" t="s">
        <v>72</v>
      </c>
      <c r="E7" s="47" t="s">
        <v>206</v>
      </c>
      <c r="G7" s="48" t="s">
        <v>152</v>
      </c>
      <c r="H7" s="41"/>
      <c r="I7" s="2" t="s">
        <v>207</v>
      </c>
    </row>
    <row r="8">
      <c r="B8" s="44" t="s">
        <v>208</v>
      </c>
      <c r="C8" s="46">
        <v>2026.0</v>
      </c>
      <c r="E8" s="47" t="s">
        <v>209</v>
      </c>
      <c r="G8" s="49">
        <v>0.0</v>
      </c>
      <c r="H8" s="41"/>
    </row>
    <row r="10">
      <c r="B10" s="50" t="s">
        <v>204</v>
      </c>
      <c r="C10" s="41"/>
      <c r="D10" s="41"/>
    </row>
    <row r="11" hidden="1">
      <c r="C11" s="1">
        <f t="array" ref="C11">_xlfn.XLOOKUP(C7,Planilha1!$F$2:$F$13,Planilha1!$G$2:$G$13)</f>
        <v>1</v>
      </c>
      <c r="D11" s="1">
        <f t="shared" ref="D11:U11" si="1">IF(C11=12,1,C11+1)</f>
        <v>2</v>
      </c>
      <c r="E11" s="1">
        <f t="shared" si="1"/>
        <v>3</v>
      </c>
      <c r="F11" s="1">
        <f t="shared" si="1"/>
        <v>4</v>
      </c>
      <c r="G11" s="1">
        <f t="shared" si="1"/>
        <v>5</v>
      </c>
      <c r="H11" s="1">
        <f t="shared" si="1"/>
        <v>6</v>
      </c>
      <c r="I11" s="1">
        <f t="shared" si="1"/>
        <v>7</v>
      </c>
      <c r="J11" s="1">
        <f t="shared" si="1"/>
        <v>8</v>
      </c>
      <c r="K11" s="1">
        <f t="shared" si="1"/>
        <v>9</v>
      </c>
      <c r="L11" s="1">
        <f t="shared" si="1"/>
        <v>10</v>
      </c>
      <c r="M11" s="1">
        <f t="shared" si="1"/>
        <v>11</v>
      </c>
      <c r="N11" s="1">
        <f t="shared" si="1"/>
        <v>12</v>
      </c>
      <c r="O11" s="1">
        <f t="shared" si="1"/>
        <v>1</v>
      </c>
      <c r="P11" s="1">
        <f t="shared" si="1"/>
        <v>2</v>
      </c>
      <c r="Q11" s="1">
        <f t="shared" si="1"/>
        <v>3</v>
      </c>
      <c r="R11" s="1">
        <f t="shared" si="1"/>
        <v>4</v>
      </c>
      <c r="S11" s="1">
        <f t="shared" si="1"/>
        <v>5</v>
      </c>
      <c r="T11" s="1">
        <f t="shared" si="1"/>
        <v>6</v>
      </c>
      <c r="U11" s="1">
        <f t="shared" si="1"/>
        <v>7</v>
      </c>
    </row>
    <row r="12" hidden="1">
      <c r="C12" s="1">
        <f>C8</f>
        <v>2026</v>
      </c>
      <c r="D12" s="1">
        <f t="shared" ref="D12:U12" si="2">IF(D11=1,C12+1,C12)</f>
        <v>2026</v>
      </c>
      <c r="E12" s="1">
        <f t="shared" si="2"/>
        <v>2026</v>
      </c>
      <c r="F12" s="1">
        <f t="shared" si="2"/>
        <v>2026</v>
      </c>
      <c r="G12" s="1">
        <f t="shared" si="2"/>
        <v>2026</v>
      </c>
      <c r="H12" s="1">
        <f t="shared" si="2"/>
        <v>2026</v>
      </c>
      <c r="I12" s="1">
        <f t="shared" si="2"/>
        <v>2026</v>
      </c>
      <c r="J12" s="1">
        <f t="shared" si="2"/>
        <v>2026</v>
      </c>
      <c r="K12" s="1">
        <f t="shared" si="2"/>
        <v>2026</v>
      </c>
      <c r="L12" s="1">
        <f t="shared" si="2"/>
        <v>2026</v>
      </c>
      <c r="M12" s="1">
        <f t="shared" si="2"/>
        <v>2026</v>
      </c>
      <c r="N12" s="1">
        <f t="shared" si="2"/>
        <v>2026</v>
      </c>
      <c r="O12" s="1">
        <f t="shared" si="2"/>
        <v>2027</v>
      </c>
      <c r="P12" s="1">
        <f t="shared" si="2"/>
        <v>2027</v>
      </c>
      <c r="Q12" s="1">
        <f t="shared" si="2"/>
        <v>2027</v>
      </c>
      <c r="R12" s="1">
        <f t="shared" si="2"/>
        <v>2027</v>
      </c>
      <c r="S12" s="1">
        <f t="shared" si="2"/>
        <v>2027</v>
      </c>
      <c r="T12" s="1">
        <f t="shared" si="2"/>
        <v>2027</v>
      </c>
      <c r="U12" s="1">
        <f t="shared" si="2"/>
        <v>2027</v>
      </c>
    </row>
    <row r="13" hidden="1">
      <c r="C13" s="1">
        <f t="shared" ref="C13:U13" si="3">C12*100+C11</f>
        <v>202601</v>
      </c>
      <c r="D13" s="1">
        <f t="shared" si="3"/>
        <v>202602</v>
      </c>
      <c r="E13" s="1">
        <f t="shared" si="3"/>
        <v>202603</v>
      </c>
      <c r="F13" s="1">
        <f t="shared" si="3"/>
        <v>202604</v>
      </c>
      <c r="G13" s="1">
        <f t="shared" si="3"/>
        <v>202605</v>
      </c>
      <c r="H13" s="1">
        <f t="shared" si="3"/>
        <v>202606</v>
      </c>
      <c r="I13" s="1">
        <f t="shared" si="3"/>
        <v>202607</v>
      </c>
      <c r="J13" s="1">
        <f t="shared" si="3"/>
        <v>202608</v>
      </c>
      <c r="K13" s="1">
        <f t="shared" si="3"/>
        <v>202609</v>
      </c>
      <c r="L13" s="1">
        <f t="shared" si="3"/>
        <v>202610</v>
      </c>
      <c r="M13" s="1">
        <f t="shared" si="3"/>
        <v>202611</v>
      </c>
      <c r="N13" s="1">
        <f t="shared" si="3"/>
        <v>202612</v>
      </c>
      <c r="O13" s="1">
        <f t="shared" si="3"/>
        <v>202701</v>
      </c>
      <c r="P13" s="1">
        <f t="shared" si="3"/>
        <v>202702</v>
      </c>
      <c r="Q13" s="1">
        <f t="shared" si="3"/>
        <v>202703</v>
      </c>
      <c r="R13" s="1">
        <f t="shared" si="3"/>
        <v>202704</v>
      </c>
      <c r="S13" s="1">
        <f t="shared" si="3"/>
        <v>202705</v>
      </c>
      <c r="T13" s="1">
        <f t="shared" si="3"/>
        <v>202706</v>
      </c>
      <c r="U13" s="1">
        <f t="shared" si="3"/>
        <v>202707</v>
      </c>
    </row>
    <row r="14">
      <c r="C14" s="53" t="str">
        <f t="array" ref="C14">_xlfn.XLOOKUP(C11,Planilha1!$G$2:$G$13,Planilha1!$F$2:$F$13)&amp;"/"&amp;C12</f>
        <v>JAN/2026</v>
      </c>
      <c r="D14" s="53" t="str">
        <f t="array" ref="D14">_xlfn.XLOOKUP(D11,Planilha1!$G$2:$G$13,Planilha1!$F$2:$F$13)&amp;"/"&amp;D12</f>
        <v>FEV/2026</v>
      </c>
      <c r="E14" s="53" t="str">
        <f t="array" ref="E14">_xlfn.XLOOKUP(E11,Planilha1!$G$2:$G$13,Planilha1!$F$2:$F$13)&amp;"/"&amp;E12</f>
        <v>MAR/2026</v>
      </c>
      <c r="F14" s="53" t="str">
        <f t="array" ref="F14">_xlfn.XLOOKUP(F11,Planilha1!$G$2:$G$13,Planilha1!$F$2:$F$13)&amp;"/"&amp;F12</f>
        <v>ABR/2026</v>
      </c>
      <c r="G14" s="53" t="str">
        <f t="array" ref="G14">_xlfn.XLOOKUP(G11,Planilha1!$G$2:$G$13,Planilha1!$F$2:$F$13)&amp;"/"&amp;G12</f>
        <v>MAI/2026</v>
      </c>
      <c r="H14" s="53" t="str">
        <f t="array" ref="H14">_xlfn.XLOOKUP(H11,Planilha1!$G$2:$G$13,Planilha1!$F$2:$F$13)&amp;"/"&amp;H12</f>
        <v>JUN/2026</v>
      </c>
      <c r="I14" s="53" t="str">
        <f t="array" ref="I14">_xlfn.XLOOKUP(I11,Planilha1!$G$2:$G$13,Planilha1!$F$2:$F$13)&amp;"/"&amp;I12</f>
        <v>JUL/2026</v>
      </c>
      <c r="J14" s="53" t="str">
        <f t="array" ref="J14">_xlfn.XLOOKUP(J11,Planilha1!$G$2:$G$13,Planilha1!$F$2:$F$13)&amp;"/"&amp;J12</f>
        <v>AGO/2026</v>
      </c>
      <c r="K14" s="53" t="str">
        <f t="array" ref="K14">_xlfn.XLOOKUP(K11,Planilha1!$G$2:$G$13,Planilha1!$F$2:$F$13)&amp;"/"&amp;K12</f>
        <v>SET/2026</v>
      </c>
      <c r="L14" s="53" t="str">
        <f t="array" ref="L14">_xlfn.XLOOKUP(L11,Planilha1!$G$2:$G$13,Planilha1!$F$2:$F$13)&amp;"/"&amp;L12</f>
        <v>OUT/2026</v>
      </c>
      <c r="M14" s="53" t="str">
        <f t="array" ref="M14">_xlfn.XLOOKUP(M11,Planilha1!$G$2:$G$13,Planilha1!$F$2:$F$13)&amp;"/"&amp;M12</f>
        <v>NOV/2026</v>
      </c>
      <c r="N14" s="53" t="str">
        <f t="array" ref="N14">_xlfn.XLOOKUP(N11,Planilha1!$G$2:$G$13,Planilha1!$F$2:$F$13)&amp;"/"&amp;N12</f>
        <v>DEZ/2026</v>
      </c>
      <c r="O14" s="53" t="str">
        <f t="array" ref="O14">_xlfn.XLOOKUP(O11,Planilha1!$G$2:$G$13,Planilha1!$F$2:$F$13)&amp;"/"&amp;O12</f>
        <v>JAN/2027</v>
      </c>
      <c r="P14" s="53" t="str">
        <f t="array" ref="P14">_xlfn.XLOOKUP(P11,Planilha1!$G$2:$G$13,Planilha1!$F$2:$F$13)&amp;"/"&amp;P12</f>
        <v>FEV/2027</v>
      </c>
      <c r="Q14" s="53" t="str">
        <f t="array" ref="Q14">_xlfn.XLOOKUP(Q11,Planilha1!$G$2:$G$13,Planilha1!$F$2:$F$13)&amp;"/"&amp;Q12</f>
        <v>MAR/2027</v>
      </c>
      <c r="R14" s="53" t="str">
        <f t="array" ref="R14">_xlfn.XLOOKUP(R11,Planilha1!$G$2:$G$13,Planilha1!$F$2:$F$13)&amp;"/"&amp;R12</f>
        <v>ABR/2027</v>
      </c>
      <c r="S14" s="53" t="str">
        <f t="array" ref="S14">_xlfn.XLOOKUP(S11,Planilha1!$G$2:$G$13,Planilha1!$F$2:$F$13)&amp;"/"&amp;S12</f>
        <v>MAI/2027</v>
      </c>
      <c r="T14" s="53" t="str">
        <f t="array" ref="T14">_xlfn.XLOOKUP(T11,Planilha1!$G$2:$G$13,Planilha1!$F$2:$F$13)&amp;"/"&amp;T12</f>
        <v>JUN/2027</v>
      </c>
      <c r="U14" s="53" t="str">
        <f t="array" ref="U14">_xlfn.XLOOKUP(U11,Planilha1!$G$2:$G$13,Planilha1!$F$2:$F$13)&amp;"/"&amp;U12</f>
        <v>JUL/2027</v>
      </c>
    </row>
    <row r="15">
      <c r="B15" s="54" t="s">
        <v>210</v>
      </c>
      <c r="C15" s="55">
        <v>0.0</v>
      </c>
      <c r="D15" s="55">
        <v>0.0</v>
      </c>
      <c r="E15" s="56">
        <f t="shared" ref="E15:F15" si="4">D53</f>
        <v>3000</v>
      </c>
      <c r="F15" s="56">
        <f t="shared" si="4"/>
        <v>274</v>
      </c>
      <c r="G15" s="56"/>
      <c r="H15" s="56"/>
      <c r="I15" s="55">
        <v>606.81</v>
      </c>
      <c r="J15" s="56"/>
      <c r="K15" s="56">
        <f t="shared" ref="K15:U15" si="5">J53</f>
        <v>3082.52</v>
      </c>
      <c r="L15" s="56">
        <f t="shared" si="5"/>
        <v>382.62</v>
      </c>
      <c r="M15" s="56">
        <f t="shared" si="5"/>
        <v>382.62</v>
      </c>
      <c r="N15" s="56">
        <f t="shared" si="5"/>
        <v>382.62</v>
      </c>
      <c r="O15" s="56">
        <f t="shared" si="5"/>
        <v>382.62</v>
      </c>
      <c r="P15" s="56">
        <f t="shared" si="5"/>
        <v>382.62</v>
      </c>
      <c r="Q15" s="56">
        <f t="shared" si="5"/>
        <v>382.62</v>
      </c>
      <c r="R15" s="56">
        <f t="shared" si="5"/>
        <v>382.62</v>
      </c>
      <c r="S15" s="56">
        <f t="shared" si="5"/>
        <v>382.62</v>
      </c>
      <c r="T15" s="56">
        <f t="shared" si="5"/>
        <v>382.62</v>
      </c>
      <c r="U15" s="56">
        <f t="shared" si="5"/>
        <v>382.62</v>
      </c>
    </row>
    <row r="16">
      <c r="B16" s="57" t="s">
        <v>171</v>
      </c>
      <c r="C16" s="58">
        <f t="shared" ref="C16:U16" si="6">SUM(C17:C33)</f>
        <v>2500</v>
      </c>
      <c r="D16" s="58">
        <f t="shared" si="6"/>
        <v>3000</v>
      </c>
      <c r="E16" s="58">
        <f t="shared" si="6"/>
        <v>0</v>
      </c>
      <c r="F16" s="58">
        <f t="shared" si="6"/>
        <v>0</v>
      </c>
      <c r="G16" s="58">
        <f t="shared" si="6"/>
        <v>7166</v>
      </c>
      <c r="H16" s="58">
        <f t="shared" si="6"/>
        <v>21010</v>
      </c>
      <c r="I16" s="58">
        <f t="shared" si="6"/>
        <v>26271</v>
      </c>
      <c r="J16" s="58">
        <f t="shared" si="6"/>
        <v>24668</v>
      </c>
      <c r="K16" s="58">
        <f t="shared" si="6"/>
        <v>20634</v>
      </c>
      <c r="L16" s="58">
        <f t="shared" si="6"/>
        <v>0</v>
      </c>
      <c r="M16" s="58">
        <f t="shared" si="6"/>
        <v>0</v>
      </c>
      <c r="N16" s="58">
        <f t="shared" si="6"/>
        <v>0</v>
      </c>
      <c r="O16" s="58">
        <f t="shared" si="6"/>
        <v>0</v>
      </c>
      <c r="P16" s="58">
        <f t="shared" si="6"/>
        <v>0</v>
      </c>
      <c r="Q16" s="58">
        <f t="shared" si="6"/>
        <v>0</v>
      </c>
      <c r="R16" s="58">
        <f t="shared" si="6"/>
        <v>0</v>
      </c>
      <c r="S16" s="58">
        <f t="shared" si="6"/>
        <v>0</v>
      </c>
      <c r="T16" s="58">
        <f t="shared" si="6"/>
        <v>0</v>
      </c>
      <c r="U16" s="58">
        <f t="shared" si="6"/>
        <v>0</v>
      </c>
    </row>
    <row r="17">
      <c r="B17" s="59" t="str">
        <f>Planilha1!B2</f>
        <v>Renan Guerra/Chroma</v>
      </c>
      <c r="C17" s="21">
        <f>SUMIFS('Lançamentos'!$H$5:$H$538,'Lançamentos'!$D$5:$D$538,'Análise'!$B17,'Lançamentos'!$C$5:$C$538,'Análise'!C$13)</f>
        <v>0</v>
      </c>
      <c r="D17" s="21">
        <f>SUMIFS('Lançamentos'!$H$5:$H$538,'Lançamentos'!$D$5:$D$538,'Análise'!$B17,'Lançamentos'!$C$5:$C$538,'Análise'!D$13)</f>
        <v>0</v>
      </c>
      <c r="E17" s="21">
        <f>SUMIFS('Lançamentos'!$H$5:$H$538,'Lançamentos'!$D$5:$D$538,'Análise'!$B17,'Lançamentos'!$C$5:$C$538,'Análise'!E$13)</f>
        <v>0</v>
      </c>
      <c r="F17" s="21">
        <f>SUMIFS('Lançamentos'!$H$5:$H$538,'Lançamentos'!$D$5:$D$538,'Análise'!$B17,'Lançamentos'!$C$5:$C$538,'Análise'!F$13)</f>
        <v>0</v>
      </c>
      <c r="G17" s="21">
        <f>SUMIFS('Lançamentos'!$H$5:$H$538,'Lançamentos'!$D$5:$D$538,'Análise'!$B17,'Lançamentos'!$C$5:$C$538,'Análise'!G$13)</f>
        <v>0</v>
      </c>
      <c r="H17" s="60">
        <f>SUMIFS('Lançamentos'!$H$5:$H$538,'Lançamentos'!$D$5:$D$538,'Análise'!$B17,'Lançamentos'!$C$5:$C$538,'Análise'!H$13)</f>
        <v>1200</v>
      </c>
      <c r="I17" s="21">
        <f>SUMIFS('Lançamentos'!$H$5:$H$538,'Lançamentos'!$D$5:$D$538,'Análise'!$B17,'Lançamentos'!$C$5:$C$538,'Análise'!I$13)</f>
        <v>1200</v>
      </c>
      <c r="J17" s="21">
        <f>SUMIFS('Lançamentos'!$H$5:$H$538,'Lançamentos'!$D$5:$D$538,'Análise'!$B17,'Lançamentos'!$C$5:$C$538,'Análise'!J$13)</f>
        <v>2400</v>
      </c>
      <c r="K17" s="61">
        <f>SUMIFS('Lançamentos'!$H$5:$H$538,'Lançamentos'!$D$5:$D$538,'Análise'!$B17,'Lançamentos'!$C$5:$C$538,'Análise'!K$13)</f>
        <v>0</v>
      </c>
      <c r="L17" s="21">
        <f>SUMIFS('Lançamentos'!$H$5:$H$538,'Lançamentos'!$D$5:$D$538,'Análise'!$B17,'Lançamentos'!$C$5:$C$538,'Análise'!L$13)</f>
        <v>0</v>
      </c>
      <c r="M17" s="21">
        <f>SUMIFS('Lançamentos'!$H$5:$H$538,'Lançamentos'!$D$5:$D$538,'Análise'!$B17,'Lançamentos'!$C$5:$C$538,'Análise'!M$13)</f>
        <v>0</v>
      </c>
      <c r="N17" s="21">
        <f>SUMIFS('Lançamentos'!$H$5:$H$538,'Lançamentos'!$D$5:$D$538,'Análise'!$B17,'Lançamentos'!$C$5:$C$538,'Análise'!N$13)</f>
        <v>0</v>
      </c>
      <c r="O17" s="21">
        <f>SUMIFS('Lançamentos'!$H$5:$H$538,'Lançamentos'!$D$5:$D$538,'Análise'!$B17,'Lançamentos'!$C$5:$C$538,'Análise'!O$13)</f>
        <v>0</v>
      </c>
      <c r="P17" s="21">
        <f>SUMIFS('Lançamentos'!$H$5:$H$538,'Lançamentos'!$D$5:$D$538,'Análise'!$B17,'Lançamentos'!$C$5:$C$538,'Análise'!P$13)</f>
        <v>0</v>
      </c>
      <c r="Q17" s="59"/>
      <c r="R17" s="59"/>
      <c r="S17" s="59"/>
      <c r="T17" s="59"/>
      <c r="U17" s="59"/>
    </row>
    <row r="18">
      <c r="B18" s="59" t="str">
        <f>Planilha1!B3</f>
        <v>Amattheis</v>
      </c>
      <c r="C18" s="21">
        <f>SUMIFS('Lançamentos'!$H$5:$H$538,'Lançamentos'!$D$5:$D$538,'Análise'!$B18,'Lançamentos'!$C$5:$C$538,'Análise'!C$13)</f>
        <v>2500</v>
      </c>
      <c r="D18" s="21">
        <f>SUMIFS('Lançamentos'!$H$5:$H$538,'Lançamentos'!$D$5:$D$538,'Análise'!$B18,'Lançamentos'!$C$5:$C$538,'Análise'!D$13)</f>
        <v>2500</v>
      </c>
      <c r="E18" s="21">
        <f>SUMIFS('Lançamentos'!$H$5:$H$538,'Lançamentos'!$D$5:$D$538,'Análise'!$B18,'Lançamentos'!$C$5:$C$538,'Análise'!E$13)</f>
        <v>0</v>
      </c>
      <c r="F18" s="21">
        <f>SUMIFS('Lançamentos'!$H$5:$H$538,'Lançamentos'!$D$5:$D$538,'Análise'!$B18,'Lançamentos'!$C$5:$C$538,'Análise'!F$13)</f>
        <v>0</v>
      </c>
      <c r="G18" s="21">
        <f>SUMIFS('Lançamentos'!$H$5:$H$538,'Lançamentos'!$D$5:$D$538,'Análise'!$B18,'Lançamentos'!$C$5:$C$538,'Análise'!G$13)</f>
        <v>2500</v>
      </c>
      <c r="H18" s="21">
        <f>SUMIFS('Lançamentos'!$H$5:$H$538,'Lançamentos'!$D$5:$D$538,'Análise'!$B18,'Lançamentos'!$C$5:$C$538,'Análise'!H$13)</f>
        <v>2500</v>
      </c>
      <c r="I18" s="21">
        <f>SUMIFS('Lançamentos'!$H$5:$H$538,'Lançamentos'!$D$5:$D$538,'Análise'!$B18,'Lançamentos'!$C$5:$C$538,'Análise'!I$13)</f>
        <v>2500</v>
      </c>
      <c r="J18" s="21">
        <f>SUMIFS('Lançamentos'!$H$5:$H$538,'Lançamentos'!$D$5:$D$538,'Análise'!$B18,'Lançamentos'!$C$5:$C$538,'Análise'!J$13)</f>
        <v>2500</v>
      </c>
      <c r="K18" s="61">
        <f>SUMIFS('Lançamentos'!$H$5:$H$538,'Lançamentos'!$D$5:$D$538,'Análise'!$B18,'Lançamentos'!$C$5:$C$538,'Análise'!K$13)</f>
        <v>0</v>
      </c>
      <c r="L18" s="21">
        <f>SUMIFS('Lançamentos'!$H$5:$H$538,'Lançamentos'!$D$5:$D$538,'Análise'!$B18,'Lançamentos'!$C$5:$C$538,'Análise'!L$13)</f>
        <v>0</v>
      </c>
      <c r="M18" s="21">
        <f>SUMIFS('Lançamentos'!$H$5:$H$538,'Lançamentos'!$D$5:$D$538,'Análise'!$B18,'Lançamentos'!$C$5:$C$538,'Análise'!M$13)</f>
        <v>0</v>
      </c>
      <c r="N18" s="21">
        <f>SUMIFS('Lançamentos'!$H$5:$H$538,'Lançamentos'!$D$5:$D$538,'Análise'!$B18,'Lançamentos'!$C$5:$C$538,'Análise'!N$13)</f>
        <v>0</v>
      </c>
      <c r="O18" s="21">
        <f>SUMIFS('Lançamentos'!$H$5:$H$538,'Lançamentos'!$D$5:$D$538,'Análise'!$B18,'Lançamentos'!$C$5:$C$538,'Análise'!O$13)</f>
        <v>0</v>
      </c>
      <c r="P18" s="21">
        <f>SUMIFS('Lançamentos'!$H$5:$H$538,'Lançamentos'!$D$5:$D$538,'Análise'!$B18,'Lançamentos'!$C$5:$C$538,'Análise'!P$13)</f>
        <v>0</v>
      </c>
      <c r="Q18" s="59"/>
      <c r="R18" s="59"/>
      <c r="S18" s="59"/>
      <c r="T18" s="59"/>
      <c r="U18" s="59"/>
    </row>
    <row r="19">
      <c r="B19" s="59" t="str">
        <f>Planilha1!B4</f>
        <v>Amattheis Vogel</v>
      </c>
      <c r="C19" s="21">
        <f>SUMIFS('Lançamentos'!$H$5:$H$538,'Lançamentos'!$D$5:$D$538,'Análise'!$B19,'Lançamentos'!$C$5:$C$538,'Análise'!C$13)</f>
        <v>0</v>
      </c>
      <c r="D19" s="21">
        <f>SUMIFS('Lançamentos'!$H$5:$H$538,'Lançamentos'!$D$5:$D$538,'Análise'!$B19,'Lançamentos'!$C$5:$C$538,'Análise'!D$13)</f>
        <v>0</v>
      </c>
      <c r="E19" s="21">
        <f>SUMIFS('Lançamentos'!$H$5:$H$538,'Lançamentos'!$D$5:$D$538,'Análise'!$B19,'Lançamentos'!$C$5:$C$538,'Análise'!E$13)</f>
        <v>0</v>
      </c>
      <c r="F19" s="21">
        <f>SUMIFS('Lançamentos'!$H$5:$H$538,'Lançamentos'!$D$5:$D$538,'Análise'!$B19,'Lançamentos'!$C$5:$C$538,'Análise'!F$13)</f>
        <v>0</v>
      </c>
      <c r="G19" s="21">
        <f>SUMIFS('Lançamentos'!$H$5:$H$538,'Lançamentos'!$D$5:$D$538,'Análise'!$B19,'Lançamentos'!$C$5:$C$538,'Análise'!G$13)</f>
        <v>0</v>
      </c>
      <c r="H19" s="21">
        <f>SUMIFS('Lançamentos'!$H$5:$H$538,'Lançamentos'!$D$5:$D$538,'Análise'!$B19,'Lançamentos'!$C$5:$C$538,'Análise'!H$13)</f>
        <v>6000</v>
      </c>
      <c r="I19" s="21">
        <f>SUMIFS('Lançamentos'!$H$5:$H$538,'Lançamentos'!$D$5:$D$538,'Análise'!$B19,'Lançamentos'!$C$5:$C$538,'Análise'!I$13)</f>
        <v>5500</v>
      </c>
      <c r="J19" s="21">
        <f>SUMIFS('Lançamentos'!$H$5:$H$538,'Lançamentos'!$D$5:$D$538,'Análise'!$B19,'Lançamentos'!$C$5:$C$538,'Análise'!J$13)</f>
        <v>5500</v>
      </c>
      <c r="K19" s="21">
        <f>SUMIFS('Lançamentos'!$H$5:$H$538,'Lançamentos'!$D$5:$D$538,'Análise'!$B19,'Lançamentos'!$C$5:$C$538,'Análise'!K$13)</f>
        <v>5500</v>
      </c>
      <c r="L19" s="21">
        <f>SUMIFS('Lançamentos'!$H$5:$H$538,'Lançamentos'!$D$5:$D$538,'Análise'!$B19,'Lançamentos'!$C$5:$C$538,'Análise'!L$13)</f>
        <v>0</v>
      </c>
      <c r="M19" s="21">
        <f>SUMIFS('Lançamentos'!$H$5:$H$538,'Lançamentos'!$D$5:$D$538,'Análise'!$B19,'Lançamentos'!$C$5:$C$538,'Análise'!M$13)</f>
        <v>0</v>
      </c>
      <c r="N19" s="21">
        <f>SUMIFS('Lançamentos'!$H$5:$H$538,'Lançamentos'!$D$5:$D$538,'Análise'!$B19,'Lançamentos'!$C$5:$C$538,'Análise'!N$13)</f>
        <v>0</v>
      </c>
      <c r="O19" s="21">
        <f>SUMIFS('Lançamentos'!$H$5:$H$538,'Lançamentos'!$D$5:$D$538,'Análise'!$B19,'Lançamentos'!$C$5:$C$538,'Análise'!O$13)</f>
        <v>0</v>
      </c>
      <c r="P19" s="21">
        <f>SUMIFS('Lançamentos'!$H$5:$H$538,'Lançamentos'!$D$5:$D$538,'Análise'!$B19,'Lançamentos'!$C$5:$C$538,'Análise'!P$13)</f>
        <v>0</v>
      </c>
      <c r="Q19" s="59"/>
      <c r="R19" s="59"/>
      <c r="S19" s="59"/>
      <c r="T19" s="59"/>
      <c r="U19" s="59"/>
    </row>
    <row r="20">
      <c r="B20" s="59" t="str">
        <f>Planilha1!B5</f>
        <v>Eucomm Racing</v>
      </c>
      <c r="C20" s="21">
        <f>SUMIFS('Lançamentos'!$H$5:$H$538,'Lançamentos'!$D$5:$D$538,'Análise'!$B20,'Lançamentos'!$C$5:$C$538,'Análise'!C$13)</f>
        <v>0</v>
      </c>
      <c r="D20" s="21">
        <f>SUMIFS('Lançamentos'!$H$5:$H$538,'Lançamentos'!$D$5:$D$538,'Análise'!$B20,'Lançamentos'!$C$5:$C$538,'Análise'!D$13)</f>
        <v>0</v>
      </c>
      <c r="E20" s="21">
        <f>SUMIFS('Lançamentos'!$H$5:$H$538,'Lançamentos'!$D$5:$D$538,'Análise'!$B20,'Lançamentos'!$C$5:$C$538,'Análise'!E$13)</f>
        <v>0</v>
      </c>
      <c r="F20" s="21">
        <f>SUMIFS('Lançamentos'!$H$5:$H$538,'Lançamentos'!$D$5:$D$538,'Análise'!$B20,'Lançamentos'!$C$5:$C$538,'Análise'!F$13)</f>
        <v>0</v>
      </c>
      <c r="G20" s="21">
        <f>SUMIFS('Lançamentos'!$H$5:$H$538,'Lançamentos'!$D$5:$D$538,'Análise'!$B20,'Lançamentos'!$C$5:$C$538,'Análise'!G$13)</f>
        <v>0</v>
      </c>
      <c r="H20" s="21">
        <f>SUMIFS('Lançamentos'!$H$5:$H$538,'Lançamentos'!$D$5:$D$538,'Análise'!$B20,'Lançamentos'!$C$5:$C$538,'Análise'!H$13)</f>
        <v>2500</v>
      </c>
      <c r="I20" s="21">
        <f>SUMIFS('Lançamentos'!$H$5:$H$538,'Lançamentos'!$D$5:$D$538,'Análise'!$B20,'Lançamentos'!$C$5:$C$538,'Análise'!I$13)</f>
        <v>2500</v>
      </c>
      <c r="J20" s="21">
        <f>SUMIFS('Lançamentos'!$H$5:$H$538,'Lançamentos'!$D$5:$D$538,'Análise'!$B20,'Lançamentos'!$C$5:$C$538,'Análise'!J$13)</f>
        <v>3700</v>
      </c>
      <c r="K20" s="21">
        <f>SUMIFS('Lançamentos'!$H$5:$H$538,'Lançamentos'!$D$5:$D$538,'Análise'!$B20,'Lançamentos'!$C$5:$C$538,'Análise'!K$13)</f>
        <v>2500</v>
      </c>
      <c r="L20" s="21">
        <f>SUMIFS('Lançamentos'!$H$5:$H$538,'Lançamentos'!$D$5:$D$538,'Análise'!$B20,'Lançamentos'!$C$5:$C$538,'Análise'!L$13)</f>
        <v>0</v>
      </c>
      <c r="M20" s="21">
        <f>SUMIFS('Lançamentos'!$H$5:$H$538,'Lançamentos'!$D$5:$D$538,'Análise'!$B20,'Lançamentos'!$C$5:$C$538,'Análise'!M$13)</f>
        <v>0</v>
      </c>
      <c r="N20" s="21">
        <f>SUMIFS('Lançamentos'!$H$5:$H$538,'Lançamentos'!$D$5:$D$538,'Análise'!$B20,'Lançamentos'!$C$5:$C$538,'Análise'!N$13)</f>
        <v>0</v>
      </c>
      <c r="O20" s="21">
        <f>SUMIFS('Lançamentos'!$H$5:$H$538,'Lançamentos'!$D$5:$D$538,'Análise'!$B20,'Lançamentos'!$C$5:$C$538,'Análise'!O$13)</f>
        <v>0</v>
      </c>
      <c r="P20" s="21">
        <f>SUMIFS('Lançamentos'!$H$5:$H$538,'Lançamentos'!$D$5:$D$538,'Análise'!$B20,'Lançamentos'!$C$5:$C$538,'Análise'!P$13)</f>
        <v>0</v>
      </c>
      <c r="Q20" s="59"/>
      <c r="R20" s="59"/>
      <c r="S20" s="59"/>
      <c r="T20" s="59"/>
      <c r="U20" s="59"/>
    </row>
    <row r="21" ht="15.75" customHeight="1">
      <c r="B21" s="59" t="str">
        <f>Planilha1!B6</f>
        <v>CFA</v>
      </c>
      <c r="C21" s="21">
        <f>SUMIFS('Lançamentos'!$H$5:$H$538,'Lançamentos'!$D$5:$D$538,'Análise'!$B21,'Lançamentos'!$C$5:$C$538,'Análise'!C$13)</f>
        <v>0</v>
      </c>
      <c r="D21" s="21">
        <f>SUMIFS('Lançamentos'!$H$5:$H$538,'Lançamentos'!$D$5:$D$538,'Análise'!$B21,'Lançamentos'!$C$5:$C$538,'Análise'!D$13)</f>
        <v>0</v>
      </c>
      <c r="E21" s="21">
        <f>SUMIFS('Lançamentos'!$H$5:$H$538,'Lançamentos'!$D$5:$D$538,'Análise'!$B21,'Lançamentos'!$C$5:$C$538,'Análise'!E$13)</f>
        <v>0</v>
      </c>
      <c r="F21" s="21">
        <f>SUMIFS('Lançamentos'!$H$5:$H$538,'Lançamentos'!$D$5:$D$538,'Análise'!$B21,'Lançamentos'!$C$5:$C$538,'Análise'!F$13)</f>
        <v>0</v>
      </c>
      <c r="G21" s="21">
        <f>SUMIFS('Lançamentos'!$H$5:$H$538,'Lançamentos'!$D$5:$D$538,'Análise'!$B21,'Lançamentos'!$C$5:$C$538,'Análise'!G$13)</f>
        <v>1066</v>
      </c>
      <c r="H21" s="74">
        <f>SUMIFS('Lançamentos'!$H$5:$H$538,'Lançamentos'!$D$5:$D$538,'Análise'!$B21,'Lançamentos'!$C$5:$C$538,'Análise'!H$13)</f>
        <v>0</v>
      </c>
      <c r="I21" s="21">
        <f>SUMIFS('Lançamentos'!$H$5:$H$538,'Lançamentos'!$D$5:$D$538,'Análise'!$B21,'Lançamentos'!$C$5:$C$538,'Análise'!I$13)</f>
        <v>1066</v>
      </c>
      <c r="J21" s="74">
        <f>SUMIFS('Lançamentos'!$H$5:$H$538,'Lançamentos'!$D$5:$D$538,'Análise'!$B21,'Lançamentos'!$C$5:$C$538,'Análise'!J$13)</f>
        <v>0</v>
      </c>
      <c r="K21" s="21">
        <f>SUMIFS('Lançamentos'!$H$5:$H$538,'Lançamentos'!$D$5:$D$538,'Análise'!$B21,'Lançamentos'!$C$5:$C$538,'Análise'!K$13)</f>
        <v>2134</v>
      </c>
      <c r="L21" s="21">
        <f>SUMIFS('Lançamentos'!$H$5:$H$538,'Lançamentos'!$D$5:$D$538,'Análise'!$B21,'Lançamentos'!$C$5:$C$538,'Análise'!L$13)</f>
        <v>0</v>
      </c>
      <c r="M21" s="21">
        <f>SUMIFS('Lançamentos'!$H$5:$H$538,'Lançamentos'!$D$5:$D$538,'Análise'!$B21,'Lançamentos'!$C$5:$C$538,'Análise'!M$13)</f>
        <v>0</v>
      </c>
      <c r="N21" s="21">
        <f>SUMIFS('Lançamentos'!$H$5:$H$538,'Lançamentos'!$D$5:$D$538,'Análise'!$B21,'Lançamentos'!$C$5:$C$538,'Análise'!N$13)</f>
        <v>0</v>
      </c>
      <c r="O21" s="21">
        <f>SUMIFS('Lançamentos'!$H$5:$H$538,'Lançamentos'!$D$5:$D$538,'Análise'!$B21,'Lançamentos'!$C$5:$C$538,'Análise'!O$13)</f>
        <v>0</v>
      </c>
      <c r="P21" s="21">
        <f>SUMIFS('Lançamentos'!$H$5:$H$538,'Lançamentos'!$D$5:$D$538,'Análise'!$B21,'Lançamentos'!$C$5:$C$538,'Análise'!P$13)</f>
        <v>0</v>
      </c>
      <c r="Q21" s="59"/>
      <c r="R21" s="59"/>
      <c r="S21" s="59"/>
      <c r="T21" s="59"/>
      <c r="U21" s="59"/>
    </row>
    <row r="22" ht="15.75" customHeight="1">
      <c r="B22" s="59" t="str">
        <f>Planilha1!B7</f>
        <v>Kaka Magno</v>
      </c>
      <c r="C22" s="21">
        <f>SUMIFS('Lançamentos'!$H$5:$H$538,'Lançamentos'!$D$5:$D$538,'Análise'!$B22,'Lançamentos'!$C$5:$C$538,'Análise'!C$13)</f>
        <v>0</v>
      </c>
      <c r="D22" s="21">
        <f>SUMIFS('Lançamentos'!$H$5:$H$538,'Lançamentos'!$D$5:$D$538,'Análise'!$B22,'Lançamentos'!$C$5:$C$538,'Análise'!D$13)</f>
        <v>0</v>
      </c>
      <c r="E22" s="21">
        <f>SUMIFS('Lançamentos'!$H$5:$H$538,'Lançamentos'!$D$5:$D$538,'Análise'!$B22,'Lançamentos'!$C$5:$C$538,'Análise'!E$13)</f>
        <v>0</v>
      </c>
      <c r="F22" s="21">
        <f>SUMIFS('Lançamentos'!$H$5:$H$538,'Lançamentos'!$D$5:$D$538,'Análise'!$B22,'Lançamentos'!$C$5:$C$538,'Análise'!F$13)</f>
        <v>0</v>
      </c>
      <c r="G22" s="21">
        <f>SUMIFS('Lançamentos'!$H$5:$H$538,'Lançamentos'!$D$5:$D$538,'Análise'!$B22,'Lançamentos'!$C$5:$C$538,'Análise'!G$13)</f>
        <v>0</v>
      </c>
      <c r="H22" s="21">
        <f>SUMIFS('Lançamentos'!$H$5:$H$538,'Lançamentos'!$D$5:$D$538,'Análise'!$B22,'Lançamentos'!$C$5:$C$538,'Análise'!H$13)</f>
        <v>1500</v>
      </c>
      <c r="I22" s="21">
        <f>SUMIFS('Lançamentos'!$H$5:$H$538,'Lançamentos'!$D$5:$D$538,'Análise'!$B22,'Lançamentos'!$C$5:$C$538,'Análise'!I$13)</f>
        <v>1400</v>
      </c>
      <c r="J22" s="21">
        <f>SUMIFS('Lançamentos'!$H$5:$H$538,'Lançamentos'!$D$5:$D$538,'Análise'!$B22,'Lançamentos'!$C$5:$C$538,'Análise'!J$13)</f>
        <v>570</v>
      </c>
      <c r="K22" s="61">
        <f>SUMIFS('Lançamentos'!$H$5:$H$538,'Lançamentos'!$D$5:$D$538,'Análise'!$B22,'Lançamentos'!$C$5:$C$538,'Análise'!K$13)</f>
        <v>0</v>
      </c>
      <c r="L22" s="21">
        <f>SUMIFS('Lançamentos'!$H$5:$H$538,'Lançamentos'!$D$5:$D$538,'Análise'!$B22,'Lançamentos'!$C$5:$C$538,'Análise'!L$13)</f>
        <v>0</v>
      </c>
      <c r="M22" s="21">
        <f>SUMIFS('Lançamentos'!$H$5:$H$538,'Lançamentos'!$D$5:$D$538,'Análise'!$B22,'Lançamentos'!$C$5:$C$538,'Análise'!M$13)</f>
        <v>0</v>
      </c>
      <c r="N22" s="21">
        <f>SUMIFS('Lançamentos'!$H$5:$H$538,'Lançamentos'!$D$5:$D$538,'Análise'!$B22,'Lançamentos'!$C$5:$C$538,'Análise'!N$13)</f>
        <v>0</v>
      </c>
      <c r="O22" s="21">
        <f>SUMIFS('Lançamentos'!$H$5:$H$538,'Lançamentos'!$D$5:$D$538,'Análise'!$B22,'Lançamentos'!$C$5:$C$538,'Análise'!O$13)</f>
        <v>0</v>
      </c>
      <c r="P22" s="21">
        <f>SUMIFS('Lançamentos'!$H$5:$H$538,'Lançamentos'!$D$5:$D$538,'Análise'!$B22,'Lançamentos'!$C$5:$C$538,'Análise'!P$13)</f>
        <v>0</v>
      </c>
      <c r="Q22" s="59"/>
      <c r="R22" s="59"/>
      <c r="S22" s="59"/>
      <c r="T22" s="59"/>
      <c r="U22" s="59"/>
    </row>
    <row r="23" ht="15.75" customHeight="1">
      <c r="B23" s="59" t="str">
        <f>Planilha1!B8</f>
        <v>Cadu Campos</v>
      </c>
      <c r="C23" s="21">
        <f>SUMIFS('Lançamentos'!$H$5:$H$538,'Lançamentos'!$D$5:$D$538,'Análise'!$B23,'Lançamentos'!$C$5:$C$538,'Análise'!C$13)</f>
        <v>0</v>
      </c>
      <c r="D23" s="21">
        <f>SUMIFS('Lançamentos'!$H$5:$H$538,'Lançamentos'!$D$5:$D$538,'Análise'!$B23,'Lançamentos'!$C$5:$C$538,'Análise'!D$13)</f>
        <v>0</v>
      </c>
      <c r="E23" s="21">
        <f>SUMIFS('Lançamentos'!$H$5:$H$538,'Lançamentos'!$D$5:$D$538,'Análise'!$B23,'Lançamentos'!$C$5:$C$538,'Análise'!E$13)</f>
        <v>0</v>
      </c>
      <c r="F23" s="21">
        <f>SUMIFS('Lançamentos'!$H$5:$H$538,'Lançamentos'!$D$5:$D$538,'Análise'!$B23,'Lançamentos'!$C$5:$C$538,'Análise'!F$13)</f>
        <v>0</v>
      </c>
      <c r="G23" s="21">
        <f>SUMIFS('Lançamentos'!$H$5:$H$538,'Lançamentos'!$D$5:$D$538,'Análise'!$B23,'Lançamentos'!$C$5:$C$538,'Análise'!G$13)</f>
        <v>0</v>
      </c>
      <c r="H23" s="21">
        <f>SUMIFS('Lançamentos'!$H$5:$H$538,'Lançamentos'!$D$5:$D$538,'Análise'!$B23,'Lançamentos'!$C$5:$C$538,'Análise'!H$13)</f>
        <v>2460</v>
      </c>
      <c r="I23" s="60">
        <f>SUMIFS('Lançamentos'!$H$5:$H$538,'Lançamentos'!$D$5:$D$538,'Análise'!$B23,'Lançamentos'!$C$5:$C$538,'Análise'!I$13)</f>
        <v>2105</v>
      </c>
      <c r="J23" s="21">
        <f>SUMIFS('Lançamentos'!$H$5:$H$538,'Lançamentos'!$D$5:$D$538,'Análise'!$B23,'Lançamentos'!$C$5:$C$538,'Análise'!J$13)</f>
        <v>2100</v>
      </c>
      <c r="K23" s="61">
        <f>SUMIFS('Lançamentos'!$H$5:$H$538,'Lançamentos'!$D$5:$D$538,'Análise'!$B23,'Lançamentos'!$C$5:$C$538,'Análise'!K$13)</f>
        <v>0</v>
      </c>
      <c r="L23" s="21">
        <f>SUMIFS('Lançamentos'!$H$5:$H$538,'Lançamentos'!$D$5:$D$538,'Análise'!$B23,'Lançamentos'!$C$5:$C$538,'Análise'!L$13)</f>
        <v>0</v>
      </c>
      <c r="M23" s="21">
        <f>SUMIFS('Lançamentos'!$H$5:$H$538,'Lançamentos'!$D$5:$D$538,'Análise'!$B23,'Lançamentos'!$C$5:$C$538,'Análise'!M$13)</f>
        <v>0</v>
      </c>
      <c r="N23" s="21">
        <f>SUMIFS('Lançamentos'!$H$5:$H$538,'Lançamentos'!$D$5:$D$538,'Análise'!$B23,'Lançamentos'!$C$5:$C$538,'Análise'!N$13)</f>
        <v>0</v>
      </c>
      <c r="O23" s="21">
        <f>SUMIFS('Lançamentos'!$H$5:$H$538,'Lançamentos'!$D$5:$D$538,'Análise'!$B23,'Lançamentos'!$C$5:$C$538,'Análise'!O$13)</f>
        <v>0</v>
      </c>
      <c r="P23" s="21">
        <f>SUMIFS('Lançamentos'!$H$5:$H$538,'Lançamentos'!$D$5:$D$538,'Análise'!$B23,'Lançamentos'!$C$5:$C$538,'Análise'!P$13)</f>
        <v>0</v>
      </c>
      <c r="Q23" s="59"/>
      <c r="R23" s="59"/>
      <c r="S23" s="59"/>
      <c r="T23" s="59"/>
      <c r="U23" s="59"/>
    </row>
    <row r="24" ht="15.75" customHeight="1">
      <c r="B24" s="59" t="str">
        <f>Planilha1!B9</f>
        <v>Piloto TN - Paulo Maia</v>
      </c>
      <c r="C24" s="21">
        <f>SUMIFS('Lançamentos'!$H$5:$H$538,'Lançamentos'!$D$5:$D$538,'Análise'!$B24,'Lançamentos'!$C$5:$C$538,'Análise'!C$13)</f>
        <v>0</v>
      </c>
      <c r="D24" s="21">
        <f>SUMIFS('Lançamentos'!$H$5:$H$538,'Lançamentos'!$D$5:$D$538,'Análise'!$B24,'Lançamentos'!$C$5:$C$538,'Análise'!D$13)</f>
        <v>0</v>
      </c>
      <c r="E24" s="21">
        <f>SUMIFS('Lançamentos'!$H$5:$H$538,'Lançamentos'!$D$5:$D$538,'Análise'!$B24,'Lançamentos'!$C$5:$C$538,'Análise'!E$13)</f>
        <v>0</v>
      </c>
      <c r="F24" s="21">
        <f>SUMIFS('Lançamentos'!$H$5:$H$538,'Lançamentos'!$D$5:$D$538,'Análise'!$B24,'Lançamentos'!$C$5:$C$538,'Análise'!F$13)</f>
        <v>0</v>
      </c>
      <c r="G24" s="21">
        <f>SUMIFS('Lançamentos'!$H$5:$H$538,'Lançamentos'!$D$5:$D$538,'Análise'!$B24,'Lançamentos'!$C$5:$C$538,'Análise'!G$13)</f>
        <v>1800</v>
      </c>
      <c r="H24" s="60">
        <f>SUMIFS('Lançamentos'!$H$5:$H$538,'Lançamentos'!$D$5:$D$538,'Análise'!$B24,'Lançamentos'!$C$5:$C$538,'Análise'!H$13)</f>
        <v>0</v>
      </c>
      <c r="I24" s="21">
        <f>SUMIFS('Lançamentos'!$H$5:$H$538,'Lançamentos'!$D$5:$D$538,'Análise'!$B24,'Lançamentos'!$C$5:$C$538,'Análise'!I$13)</f>
        <v>3600</v>
      </c>
      <c r="J24" s="75">
        <f>SUMIFS('Lançamentos'!$H$5:$H$538,'Lançamentos'!$D$5:$D$538,'Análise'!$B24,'Lançamentos'!$C$5:$C$538,'Análise'!J$13)</f>
        <v>0</v>
      </c>
      <c r="K24" s="21">
        <f>SUMIFS('Lançamentos'!$H$5:$H$538,'Lançamentos'!$D$5:$D$538,'Análise'!$B24,'Lançamentos'!$C$5:$C$538,'Análise'!K$13)</f>
        <v>0</v>
      </c>
      <c r="L24" s="21">
        <f>SUMIFS('Lançamentos'!$H$5:$H$538,'Lançamentos'!$D$5:$D$538,'Análise'!$B24,'Lançamentos'!$C$5:$C$538,'Análise'!L$13)</f>
        <v>0</v>
      </c>
      <c r="M24" s="21">
        <f>SUMIFS('Lançamentos'!$H$5:$H$538,'Lançamentos'!$D$5:$D$538,'Análise'!$B24,'Lançamentos'!$C$5:$C$538,'Análise'!M$13)</f>
        <v>0</v>
      </c>
      <c r="N24" s="21">
        <f>SUMIFS('Lançamentos'!$H$5:$H$538,'Lançamentos'!$D$5:$D$538,'Análise'!$B24,'Lançamentos'!$C$5:$C$538,'Análise'!N$13)</f>
        <v>0</v>
      </c>
      <c r="O24" s="21">
        <f>SUMIFS('Lançamentos'!$H$5:$H$538,'Lançamentos'!$D$5:$D$538,'Análise'!$B24,'Lançamentos'!$C$5:$C$538,'Análise'!O$13)</f>
        <v>0</v>
      </c>
      <c r="P24" s="21">
        <f>SUMIFS('Lançamentos'!$H$5:$H$538,'Lançamentos'!$D$5:$D$538,'Análise'!$B24,'Lançamentos'!$C$5:$C$538,'Análise'!P$13)</f>
        <v>0</v>
      </c>
      <c r="Q24" s="59"/>
      <c r="R24" s="59"/>
      <c r="S24" s="59"/>
      <c r="T24" s="59"/>
      <c r="U24" s="59"/>
    </row>
    <row r="25" ht="15.75" customHeight="1">
      <c r="B25" s="59" t="str">
        <f>Planilha1!B10</f>
        <v>Equipe TN - Porthack</v>
      </c>
      <c r="C25" s="21">
        <f>SUMIFS('Lançamentos'!$H$5:$H$538,'Lançamentos'!$D$5:$D$538,'Análise'!$B25,'Lançamentos'!$C$5:$C$538,'Análise'!C$13)</f>
        <v>0</v>
      </c>
      <c r="D25" s="21">
        <f>SUMIFS('Lançamentos'!$H$5:$H$538,'Lançamentos'!$D$5:$D$538,'Análise'!$B25,'Lançamentos'!$C$5:$C$538,'Análise'!D$13)</f>
        <v>0</v>
      </c>
      <c r="E25" s="21">
        <f>SUMIFS('Lançamentos'!$H$5:$H$538,'Lançamentos'!$D$5:$D$538,'Análise'!$B25,'Lançamentos'!$C$5:$C$538,'Análise'!E$13)</f>
        <v>0</v>
      </c>
      <c r="F25" s="21">
        <f>SUMIFS('Lançamentos'!$H$5:$H$538,'Lançamentos'!$D$5:$D$538,'Análise'!$B25,'Lançamentos'!$C$5:$C$538,'Análise'!F$13)</f>
        <v>0</v>
      </c>
      <c r="G25" s="21">
        <f>SUMIFS('Lançamentos'!$H$5:$H$538,'Lançamentos'!$D$5:$D$538,'Análise'!$B25,'Lançamentos'!$C$5:$C$538,'Análise'!G$13)</f>
        <v>1800</v>
      </c>
      <c r="H25" s="60">
        <f>SUMIFS('Lançamentos'!$H$5:$H$538,'Lançamentos'!$D$5:$D$538,'Análise'!$B25,'Lançamentos'!$C$5:$C$538,'Análise'!H$13)</f>
        <v>0</v>
      </c>
      <c r="I25" s="21">
        <f>SUMIFS('Lançamentos'!$H$5:$H$538,'Lançamentos'!$D$5:$D$538,'Análise'!$B25,'Lançamentos'!$C$5:$C$538,'Análise'!I$13)</f>
        <v>1800</v>
      </c>
      <c r="J25" s="21">
        <f>SUMIFS('Lançamentos'!$H$5:$H$538,'Lançamentos'!$D$5:$D$538,'Análise'!$B25,'Lançamentos'!$C$5:$C$538,'Análise'!J$13)</f>
        <v>1800</v>
      </c>
      <c r="K25" s="61">
        <f>SUMIFS('Lançamentos'!$H$5:$H$538,'Lançamentos'!$D$5:$D$538,'Análise'!$B25,'Lançamentos'!$C$5:$C$538,'Análise'!K$13)</f>
        <v>0</v>
      </c>
      <c r="L25" s="21">
        <f>SUMIFS('Lançamentos'!$H$5:$H$538,'Lançamentos'!$D$5:$D$538,'Análise'!$B25,'Lançamentos'!$C$5:$C$538,'Análise'!L$13)</f>
        <v>0</v>
      </c>
      <c r="M25" s="21">
        <f>SUMIFS('Lançamentos'!$H$5:$H$538,'Lançamentos'!$D$5:$D$538,'Análise'!$B25,'Lançamentos'!$C$5:$C$538,'Análise'!M$13)</f>
        <v>0</v>
      </c>
      <c r="N25" s="21">
        <f>SUMIFS('Lançamentos'!$H$5:$H$538,'Lançamentos'!$D$5:$D$538,'Análise'!$B25,'Lançamentos'!$C$5:$C$538,'Análise'!N$13)</f>
        <v>0</v>
      </c>
      <c r="O25" s="21">
        <f>SUMIFS('Lançamentos'!$H$5:$H$538,'Lançamentos'!$D$5:$D$538,'Análise'!$B25,'Lançamentos'!$C$5:$C$538,'Análise'!O$13)</f>
        <v>0</v>
      </c>
      <c r="P25" s="21">
        <f>SUMIFS('Lançamentos'!$H$5:$H$538,'Lançamentos'!$D$5:$D$538,'Análise'!$B25,'Lançamentos'!$C$5:$C$538,'Análise'!P$13)</f>
        <v>0</v>
      </c>
      <c r="Q25" s="59"/>
      <c r="R25" s="59"/>
      <c r="S25" s="59"/>
      <c r="T25" s="59"/>
      <c r="U25" s="59"/>
    </row>
    <row r="26" ht="15.75" customHeight="1">
      <c r="B26" s="59" t="str">
        <f>Planilha1!B11</f>
        <v>Hublub</v>
      </c>
      <c r="C26" s="21">
        <f>SUMIFS('Lançamentos'!$H$5:$H$538,'Lançamentos'!$D$5:$D$538,'Análise'!$B26,'Lançamentos'!$C$5:$C$538,'Análise'!C$13)</f>
        <v>0</v>
      </c>
      <c r="D26" s="21">
        <f>SUMIFS('Lançamentos'!$H$5:$H$538,'Lançamentos'!$D$5:$D$538,'Análise'!$B26,'Lançamentos'!$C$5:$C$538,'Análise'!D$13)</f>
        <v>0</v>
      </c>
      <c r="E26" s="21">
        <f>SUMIFS('Lançamentos'!$H$5:$H$538,'Lançamentos'!$D$5:$D$538,'Análise'!$B26,'Lançamentos'!$C$5:$C$538,'Análise'!E$13)</f>
        <v>0</v>
      </c>
      <c r="F26" s="21">
        <f>SUMIFS('Lançamentos'!$H$5:$H$538,'Lançamentos'!$D$5:$D$538,'Análise'!$B26,'Lançamentos'!$C$5:$C$538,'Análise'!F$13)</f>
        <v>0</v>
      </c>
      <c r="G26" s="21">
        <f>SUMIFS('Lançamentos'!$H$5:$H$538,'Lançamentos'!$D$5:$D$538,'Análise'!$B26,'Lançamentos'!$C$5:$C$538,'Análise'!G$13)</f>
        <v>0</v>
      </c>
      <c r="H26" s="21">
        <f>SUMIFS('Lançamentos'!$H$5:$H$538,'Lançamentos'!$D$5:$D$538,'Análise'!$B26,'Lançamentos'!$C$5:$C$538,'Análise'!H$13)</f>
        <v>4600</v>
      </c>
      <c r="I26" s="21">
        <f>SUMIFS('Lançamentos'!$H$5:$H$538,'Lançamentos'!$D$5:$D$538,'Análise'!$B26,'Lançamentos'!$C$5:$C$538,'Análise'!I$13)</f>
        <v>4600</v>
      </c>
      <c r="J26" s="21">
        <f>SUMIFS('Lançamentos'!$H$5:$H$538,'Lançamentos'!$D$5:$D$538,'Análise'!$B26,'Lançamentos'!$C$5:$C$538,'Análise'!J$13)</f>
        <v>4600</v>
      </c>
      <c r="K26" s="21">
        <f>SUMIFS('Lançamentos'!$H$5:$H$538,'Lançamentos'!$D$5:$D$538,'Análise'!$B26,'Lançamentos'!$C$5:$C$538,'Análise'!K$13)</f>
        <v>4600</v>
      </c>
      <c r="L26" s="21">
        <f>SUMIFS('Lançamentos'!$H$5:$H$538,'Lançamentos'!$D$5:$D$538,'Análise'!$B26,'Lançamentos'!$C$5:$C$538,'Análise'!L$13)</f>
        <v>0</v>
      </c>
      <c r="M26" s="21">
        <f>SUMIFS('Lançamentos'!$H$5:$H$538,'Lançamentos'!$D$5:$D$538,'Análise'!$B26,'Lançamentos'!$C$5:$C$538,'Análise'!M$13)</f>
        <v>0</v>
      </c>
      <c r="N26" s="21">
        <f>SUMIFS('Lançamentos'!$H$5:$H$538,'Lançamentos'!$D$5:$D$538,'Análise'!$B26,'Lançamentos'!$C$5:$C$538,'Análise'!N$13)</f>
        <v>0</v>
      </c>
      <c r="O26" s="21">
        <f>SUMIFS('Lançamentos'!$H$5:$H$538,'Lançamentos'!$D$5:$D$538,'Análise'!$B26,'Lançamentos'!$C$5:$C$538,'Análise'!O$13)</f>
        <v>0</v>
      </c>
      <c r="P26" s="21">
        <f>SUMIFS('Lançamentos'!$H$5:$H$538,'Lançamentos'!$D$5:$D$538,'Análise'!$B26,'Lançamentos'!$C$5:$C$538,'Análise'!P$13)</f>
        <v>0</v>
      </c>
      <c r="Q26" s="59"/>
      <c r="R26" s="59"/>
      <c r="S26" s="59"/>
      <c r="T26" s="59"/>
      <c r="U26" s="59"/>
    </row>
    <row r="27" ht="15.75" customHeight="1">
      <c r="B27" s="59" t="str">
        <f>Planilha1!B12</f>
        <v>Silvana (Freela)</v>
      </c>
      <c r="C27" s="21">
        <f>SUMIFS('Lançamentos'!$H$5:$H$538,'Lançamentos'!$D$5:$D$538,'Análise'!$B27,'Lançamentos'!$C$5:$C$538,'Análise'!C$13)</f>
        <v>0</v>
      </c>
      <c r="D27" s="21">
        <f>SUMIFS('Lançamentos'!$H$5:$H$538,'Lançamentos'!$D$5:$D$538,'Análise'!$B27,'Lançamentos'!$C$5:$C$538,'Análise'!D$13)</f>
        <v>500</v>
      </c>
      <c r="E27" s="21">
        <f>SUMIFS('Lançamentos'!$H$5:$H$538,'Lançamentos'!$D$5:$D$538,'Análise'!$B27,'Lançamentos'!$C$5:$C$538,'Análise'!E$13)</f>
        <v>0</v>
      </c>
      <c r="F27" s="21">
        <f>SUMIFS('Lançamentos'!$H$5:$H$538,'Lançamentos'!$D$5:$D$538,'Análise'!$B27,'Lançamentos'!$C$5:$C$538,'Análise'!F$13)</f>
        <v>0</v>
      </c>
      <c r="G27" s="21">
        <f>SUMIFS('Lançamentos'!$H$5:$H$538,'Lançamentos'!$D$5:$D$538,'Análise'!$B27,'Lançamentos'!$C$5:$C$538,'Análise'!G$13)</f>
        <v>0</v>
      </c>
      <c r="H27" s="21">
        <f>SUMIFS('Lançamentos'!$H$5:$H$538,'Lançamentos'!$D$5:$D$538,'Análise'!$B27,'Lançamentos'!$C$5:$C$538,'Análise'!H$13)</f>
        <v>250</v>
      </c>
      <c r="I27" s="21">
        <f>SUMIFS('Lançamentos'!$H$5:$H$538,'Lançamentos'!$D$5:$D$538,'Análise'!$B27,'Lançamentos'!$C$5:$C$538,'Análise'!I$13)</f>
        <v>0</v>
      </c>
      <c r="J27" s="21">
        <f>SUMIFS('Lançamentos'!$H$5:$H$538,'Lançamentos'!$D$5:$D$538,'Análise'!$B27,'Lançamentos'!$C$5:$C$538,'Análise'!J$13)</f>
        <v>0</v>
      </c>
      <c r="K27" s="21">
        <f>SUMIFS('Lançamentos'!$H$5:$H$538,'Lançamentos'!$D$5:$D$538,'Análise'!$B27,'Lançamentos'!$C$5:$C$538,'Análise'!K$13)</f>
        <v>400</v>
      </c>
      <c r="L27" s="21">
        <f>SUMIFS('Lançamentos'!$H$5:$H$538,'Lançamentos'!$D$5:$D$538,'Análise'!$B27,'Lançamentos'!$C$5:$C$538,'Análise'!L$13)</f>
        <v>0</v>
      </c>
      <c r="M27" s="21">
        <f>SUMIFS('Lançamentos'!$H$5:$H$538,'Lançamentos'!$D$5:$D$538,'Análise'!$B27,'Lançamentos'!$C$5:$C$538,'Análise'!M$13)</f>
        <v>0</v>
      </c>
      <c r="N27" s="21">
        <f>SUMIFS('Lançamentos'!$H$5:$H$538,'Lançamentos'!$D$5:$D$538,'Análise'!$B27,'Lançamentos'!$C$5:$C$538,'Análise'!N$13)</f>
        <v>0</v>
      </c>
      <c r="O27" s="21">
        <f>SUMIFS('Lançamentos'!$H$5:$H$538,'Lançamentos'!$D$5:$D$538,'Análise'!$B27,'Lançamentos'!$C$5:$C$538,'Análise'!O$13)</f>
        <v>0</v>
      </c>
      <c r="P27" s="21">
        <f>SUMIFS('Lançamentos'!$H$5:$H$538,'Lançamentos'!$D$5:$D$538,'Análise'!$B27,'Lançamentos'!$C$5:$C$538,'Análise'!P$13)</f>
        <v>0</v>
      </c>
      <c r="Q27" s="59"/>
      <c r="R27" s="59"/>
      <c r="S27" s="59"/>
      <c r="T27" s="59"/>
      <c r="U27" s="59"/>
    </row>
    <row r="28" ht="15.75" customHeight="1">
      <c r="B28" s="59" t="str">
        <f>Planilha1!B13</f>
        <v>Helio Castroneves</v>
      </c>
      <c r="C28" s="21">
        <f>SUMIFS('Lançamentos'!$H$5:$H$538,'Lançamentos'!$D$5:$D$538,'Análise'!$B28,'Lançamentos'!$C$5:$C$538,'Análise'!C$13)</f>
        <v>0</v>
      </c>
      <c r="D28" s="21">
        <f>SUMIFS('Lançamentos'!$H$5:$H$538,'Lançamentos'!$D$5:$D$538,'Análise'!$B28,'Lançamentos'!$C$5:$C$538,'Análise'!D$13)</f>
        <v>0</v>
      </c>
      <c r="E28" s="21">
        <f>SUMIFS('Lançamentos'!$H$5:$H$538,'Lançamentos'!$D$5:$D$538,'Análise'!$B28,'Lançamentos'!$C$5:$C$538,'Análise'!E$13)</f>
        <v>0</v>
      </c>
      <c r="F28" s="21">
        <f>SUMIFS('Lançamentos'!$H$5:$H$538,'Lançamentos'!$D$5:$D$538,'Análise'!$B28,'Lançamentos'!$C$5:$C$538,'Análise'!F$13)</f>
        <v>0</v>
      </c>
      <c r="G28" s="21">
        <f>SUMIFS('Lançamentos'!$H$5:$H$538,'Lançamentos'!$D$5:$D$538,'Análise'!$B28,'Lançamentos'!$C$5:$C$538,'Análise'!G$13)</f>
        <v>0</v>
      </c>
      <c r="H28" s="21">
        <f>SUMIFS('Lançamentos'!$H$5:$H$538,'Lançamentos'!$D$5:$D$538,'Análise'!$B28,'Lançamentos'!$C$5:$C$538,'Análise'!H$13)</f>
        <v>0</v>
      </c>
      <c r="I28" s="21">
        <f>SUMIFS('Lançamentos'!$H$5:$H$538,'Lançamentos'!$D$5:$D$538,'Análise'!$B28,'Lançamentos'!$C$5:$C$538,'Análise'!I$13)</f>
        <v>0</v>
      </c>
      <c r="J28" s="21">
        <f>SUMIFS('Lançamentos'!$H$5:$H$538,'Lançamentos'!$D$5:$D$538,'Análise'!$B28,'Lançamentos'!$C$5:$C$538,'Análise'!J$13)</f>
        <v>0</v>
      </c>
      <c r="K28" s="21">
        <f>SUMIFS('Lançamentos'!$H$5:$H$538,'Lançamentos'!$D$5:$D$538,'Análise'!$B28,'Lançamentos'!$C$5:$C$538,'Análise'!K$13)</f>
        <v>0</v>
      </c>
      <c r="L28" s="21">
        <f>SUMIFS('Lançamentos'!$H$5:$H$538,'Lançamentos'!$D$5:$D$538,'Análise'!$B28,'Lançamentos'!$C$5:$C$538,'Análise'!L$13)</f>
        <v>0</v>
      </c>
      <c r="M28" s="21">
        <f>SUMIFS('Lançamentos'!$H$5:$H$538,'Lançamentos'!$D$5:$D$538,'Análise'!$B28,'Lançamentos'!$C$5:$C$538,'Análise'!M$13)</f>
        <v>0</v>
      </c>
      <c r="N28" s="21">
        <f>SUMIFS('Lançamentos'!$H$5:$H$538,'Lançamentos'!$D$5:$D$538,'Análise'!$B28,'Lançamentos'!$C$5:$C$538,'Análise'!N$13)</f>
        <v>0</v>
      </c>
      <c r="O28" s="21">
        <f>SUMIFS('Lançamentos'!$H$5:$H$538,'Lançamentos'!$D$5:$D$538,'Análise'!$B28,'Lançamentos'!$C$5:$C$538,'Análise'!O$13)</f>
        <v>0</v>
      </c>
      <c r="P28" s="21">
        <f>SUMIFS('Lançamentos'!$H$5:$H$538,'Lançamentos'!$D$5:$D$538,'Análise'!$B28,'Lançamentos'!$C$5:$C$538,'Análise'!P$13)</f>
        <v>0</v>
      </c>
      <c r="Q28" s="59"/>
      <c r="R28" s="59"/>
      <c r="S28" s="59"/>
      <c r="T28" s="59"/>
      <c r="U28" s="59"/>
    </row>
    <row r="29" ht="15.75" customHeight="1">
      <c r="B29" s="59" t="str">
        <f>Planilha1!B14</f>
        <v>Freela Silas Passos</v>
      </c>
      <c r="C29" s="21">
        <f>SUMIFS('Lançamentos'!$H$5:$H$538,'Lançamentos'!$D$5:$D$538,'Análise'!$B29,'Lançamentos'!$C$5:$C$538,'Análise'!C$13)</f>
        <v>0</v>
      </c>
      <c r="D29" s="21">
        <f>SUMIFS('Lançamentos'!$H$5:$H$538,'Lançamentos'!$D$5:$D$538,'Análise'!$B29,'Lançamentos'!$C$5:$C$538,'Análise'!D$13)</f>
        <v>0</v>
      </c>
      <c r="E29" s="21">
        <f>SUMIFS('Lançamentos'!$H$5:$H$538,'Lançamentos'!$D$5:$D$538,'Análise'!$B29,'Lançamentos'!$C$5:$C$538,'Análise'!E$13)</f>
        <v>0</v>
      </c>
      <c r="F29" s="21">
        <f>SUMIFS('Lançamentos'!$H$5:$H$538,'Lançamentos'!$D$5:$D$538,'Análise'!$B29,'Lançamentos'!$C$5:$C$538,'Análise'!F$13)</f>
        <v>0</v>
      </c>
      <c r="G29" s="21">
        <f>SUMIFS('Lançamentos'!$H$5:$H$538,'Lançamentos'!$D$5:$D$538,'Análise'!$B29,'Lançamentos'!$C$5:$C$538,'Análise'!G$13)</f>
        <v>0</v>
      </c>
      <c r="H29" s="21">
        <f>SUMIFS('Lançamentos'!$H$5:$H$538,'Lançamentos'!$D$5:$D$538,'Análise'!$B29,'Lançamentos'!$C$5:$C$538,'Análise'!H$13)</f>
        <v>0</v>
      </c>
      <c r="I29" s="21">
        <f>SUMIFS('Lançamentos'!$H$5:$H$538,'Lançamentos'!$D$5:$D$538,'Análise'!$B29,'Lançamentos'!$C$5:$C$538,'Análise'!I$13)</f>
        <v>0</v>
      </c>
      <c r="J29" s="21">
        <f>SUMIFS('Lançamentos'!$H$5:$H$538,'Lançamentos'!$D$5:$D$538,'Análise'!$B29,'Lançamentos'!$C$5:$C$538,'Análise'!J$13)</f>
        <v>0</v>
      </c>
      <c r="K29" s="21">
        <f>SUMIFS('Lançamentos'!$H$5:$H$538,'Lançamentos'!$D$5:$D$538,'Análise'!$B29,'Lançamentos'!$C$5:$C$538,'Análise'!K$13)</f>
        <v>0</v>
      </c>
      <c r="L29" s="21">
        <f>SUMIFS('Lançamentos'!$H$5:$H$538,'Lançamentos'!$D$5:$D$538,'Análise'!$B29,'Lançamentos'!$C$5:$C$538,'Análise'!L$13)</f>
        <v>0</v>
      </c>
      <c r="M29" s="21">
        <f>SUMIFS('Lançamentos'!$H$5:$H$538,'Lançamentos'!$D$5:$D$538,'Análise'!$B29,'Lançamentos'!$C$5:$C$538,'Análise'!M$13)</f>
        <v>0</v>
      </c>
      <c r="N29" s="21">
        <f>SUMIFS('Lançamentos'!$H$5:$H$538,'Lançamentos'!$D$5:$D$538,'Análise'!$B29,'Lançamentos'!$C$5:$C$538,'Análise'!N$13)</f>
        <v>0</v>
      </c>
      <c r="O29" s="21">
        <f>SUMIFS('Lançamentos'!$H$5:$H$538,'Lançamentos'!$D$5:$D$538,'Análise'!$B29,'Lançamentos'!$C$5:$C$538,'Análise'!O$13)</f>
        <v>0</v>
      </c>
      <c r="P29" s="21">
        <f>SUMIFS('Lançamentos'!$H$5:$H$538,'Lançamentos'!$D$5:$D$538,'Análise'!$B29,'Lançamentos'!$C$5:$C$538,'Análise'!P$13)</f>
        <v>0</v>
      </c>
      <c r="Q29" s="59"/>
      <c r="R29" s="59"/>
      <c r="S29" s="59"/>
      <c r="T29" s="59"/>
      <c r="U29" s="59"/>
    </row>
    <row r="30" ht="15.75" customHeight="1">
      <c r="B30" s="59" t="str">
        <f>Planilha1!B15</f>
        <v>Freela (Elleven)</v>
      </c>
      <c r="C30" s="21">
        <f>SUMIFS('Lançamentos'!$H$5:$H$538,'Lançamentos'!$D$5:$D$538,'Análise'!$B30,'Lançamentos'!$C$5:$C$538,'Análise'!C$13)</f>
        <v>0</v>
      </c>
      <c r="D30" s="21">
        <f>SUMIFS('Lançamentos'!$H$5:$H$538,'Lançamentos'!$D$5:$D$538,'Análise'!$B30,'Lançamentos'!$C$5:$C$538,'Análise'!D$13)</f>
        <v>0</v>
      </c>
      <c r="E30" s="21">
        <f>SUMIFS('Lançamentos'!$H$5:$H$538,'Lançamentos'!$D$5:$D$538,'Análise'!$B30,'Lançamentos'!$C$5:$C$538,'Análise'!E$13)</f>
        <v>0</v>
      </c>
      <c r="F30" s="21">
        <f>SUMIFS('Lançamentos'!$H$5:$H$538,'Lançamentos'!$D$5:$D$538,'Análise'!$B30,'Lançamentos'!$C$5:$C$538,'Análise'!F$13)</f>
        <v>0</v>
      </c>
      <c r="G30" s="21">
        <f>SUMIFS('Lançamentos'!$H$5:$H$538,'Lançamentos'!$D$5:$D$538,'Análise'!$B30,'Lançamentos'!$C$5:$C$538,'Análise'!G$13)</f>
        <v>0</v>
      </c>
      <c r="H30" s="21">
        <f>SUMIFS('Lançamentos'!$H$5:$H$538,'Lançamentos'!$D$5:$D$538,'Análise'!$B30,'Lançamentos'!$C$5:$C$538,'Análise'!H$13)</f>
        <v>0</v>
      </c>
      <c r="I30" s="21">
        <f>SUMIFS('Lançamentos'!$H$5:$H$538,'Lançamentos'!$D$5:$D$538,'Análise'!$B30,'Lançamentos'!$C$5:$C$538,'Análise'!I$13)</f>
        <v>0</v>
      </c>
      <c r="J30" s="21">
        <f>SUMIFS('Lançamentos'!$H$5:$H$538,'Lançamentos'!$D$5:$D$538,'Análise'!$B30,'Lançamentos'!$C$5:$C$538,'Análise'!J$13)</f>
        <v>350</v>
      </c>
      <c r="K30" s="21">
        <f>SUMIFS('Lançamentos'!$H$5:$H$538,'Lançamentos'!$D$5:$D$538,'Análise'!$B30,'Lançamentos'!$C$5:$C$538,'Análise'!K$13)</f>
        <v>0</v>
      </c>
      <c r="L30" s="21">
        <f>SUMIFS('Lançamentos'!$H$5:$H$538,'Lançamentos'!$D$5:$D$538,'Análise'!$B30,'Lançamentos'!$C$5:$C$538,'Análise'!L$13)</f>
        <v>0</v>
      </c>
      <c r="M30" s="21">
        <f>SUMIFS('Lançamentos'!$H$5:$H$538,'Lançamentos'!$D$5:$D$538,'Análise'!$B30,'Lançamentos'!$C$5:$C$538,'Análise'!M$13)</f>
        <v>0</v>
      </c>
      <c r="N30" s="21">
        <f>SUMIFS('Lançamentos'!$H$5:$H$538,'Lançamentos'!$D$5:$D$538,'Análise'!$B30,'Lançamentos'!$C$5:$C$538,'Análise'!N$13)</f>
        <v>0</v>
      </c>
      <c r="O30" s="21">
        <f>SUMIFS('Lançamentos'!$H$5:$H$538,'Lançamentos'!$D$5:$D$538,'Análise'!$B30,'Lançamentos'!$C$5:$C$538,'Análise'!O$13)</f>
        <v>0</v>
      </c>
      <c r="P30" s="21">
        <f>SUMIFS('Lançamentos'!$H$5:$H$538,'Lançamentos'!$D$5:$D$538,'Análise'!$B30,'Lançamentos'!$C$5:$C$538,'Análise'!P$13)</f>
        <v>0</v>
      </c>
      <c r="Q30" s="59"/>
      <c r="R30" s="59"/>
      <c r="S30" s="59"/>
      <c r="T30" s="59"/>
      <c r="U30" s="59"/>
    </row>
    <row r="31" ht="15.75" customHeight="1">
      <c r="B31" s="59" t="str">
        <f>Planilha1!B16</f>
        <v>SAE Brasil</v>
      </c>
      <c r="C31" s="21">
        <f>SUMIFS('Lançamentos'!$H$5:$H$538,'Lançamentos'!$D$5:$D$538,'Análise'!$B31,'Lançamentos'!$C$5:$C$538,'Análise'!C$13)</f>
        <v>0</v>
      </c>
      <c r="D31" s="21">
        <f>SUMIFS('Lançamentos'!$H$5:$H$538,'Lançamentos'!$D$5:$D$538,'Análise'!$B31,'Lançamentos'!$C$5:$C$538,'Análise'!D$13)</f>
        <v>0</v>
      </c>
      <c r="E31" s="21">
        <f>SUMIFS('Lançamentos'!$H$5:$H$538,'Lançamentos'!$D$5:$D$538,'Análise'!$B31,'Lançamentos'!$C$5:$C$538,'Análise'!E$13)</f>
        <v>0</v>
      </c>
      <c r="F31" s="21">
        <f>SUMIFS('Lançamentos'!$H$5:$H$538,'Lançamentos'!$D$5:$D$538,'Análise'!$B31,'Lançamentos'!$C$5:$C$538,'Análise'!F$13)</f>
        <v>0</v>
      </c>
      <c r="G31" s="21">
        <f>SUMIFS('Lançamentos'!$H$5:$H$538,'Lançamentos'!$D$5:$D$538,'Análise'!$B31,'Lançamentos'!$C$5:$C$538,'Análise'!G$13)</f>
        <v>0</v>
      </c>
      <c r="H31" s="21">
        <f>SUMIFS('Lançamentos'!$H$5:$H$538,'Lançamentos'!$D$5:$D$538,'Análise'!$B31,'Lançamentos'!$C$5:$C$538,'Análise'!H$13)</f>
        <v>0</v>
      </c>
      <c r="I31" s="21">
        <f>SUMIFS('Lançamentos'!$H$5:$H$538,'Lançamentos'!$D$5:$D$538,'Análise'!$B31,'Lançamentos'!$C$5:$C$538,'Análise'!I$13)</f>
        <v>0</v>
      </c>
      <c r="J31" s="21">
        <f>SUMIFS('Lançamentos'!$H$5:$H$538,'Lançamentos'!$D$5:$D$538,'Análise'!$B31,'Lançamentos'!$C$5:$C$538,'Análise'!J$13)</f>
        <v>1000</v>
      </c>
      <c r="K31" s="21">
        <f>SUMIFS('Lançamentos'!$H$5:$H$538,'Lançamentos'!$D$5:$D$538,'Análise'!$B31,'Lançamentos'!$C$5:$C$538,'Análise'!K$13)</f>
        <v>0</v>
      </c>
      <c r="L31" s="21">
        <f>SUMIFS('Lançamentos'!$H$5:$H$538,'Lançamentos'!$D$5:$D$538,'Análise'!$B31,'Lançamentos'!$C$5:$C$538,'Análise'!L$13)</f>
        <v>0</v>
      </c>
      <c r="M31" s="21">
        <f>SUMIFS('Lançamentos'!$H$5:$H$538,'Lançamentos'!$D$5:$D$538,'Análise'!$B31,'Lançamentos'!$C$5:$C$538,'Análise'!M$13)</f>
        <v>0</v>
      </c>
      <c r="N31" s="21">
        <f>SUMIFS('Lançamentos'!$H$5:$H$538,'Lançamentos'!$D$5:$D$538,'Análise'!$B31,'Lançamentos'!$C$5:$C$538,'Análise'!N$13)</f>
        <v>0</v>
      </c>
      <c r="O31" s="21">
        <f>SUMIFS('Lançamentos'!$H$5:$H$538,'Lançamentos'!$D$5:$D$538,'Análise'!$B31,'Lançamentos'!$C$5:$C$538,'Análise'!O$13)</f>
        <v>0</v>
      </c>
      <c r="P31" s="21">
        <f>SUMIFS('Lançamentos'!$H$5:$H$538,'Lançamentos'!$D$5:$D$538,'Análise'!$B31,'Lançamentos'!$C$5:$C$538,'Análise'!P$13)</f>
        <v>0</v>
      </c>
      <c r="Q31" s="59"/>
      <c r="R31" s="59"/>
      <c r="S31" s="59"/>
      <c r="T31" s="59"/>
      <c r="U31" s="59"/>
    </row>
    <row r="32" ht="15.75" customHeight="1">
      <c r="B32" s="59" t="str">
        <f>Planilha1!B17</f>
        <v>Entrada reembolso</v>
      </c>
      <c r="C32" s="21">
        <f>SUMIFS('Lançamentos'!$H$5:$H$538,'Lançamentos'!$D$5:$D$538,'Análise'!$B32,'Lançamentos'!$C$5:$C$538,'Análise'!C$13)</f>
        <v>0</v>
      </c>
      <c r="D32" s="21">
        <f>SUMIFS('Lançamentos'!$H$5:$H$538,'Lançamentos'!$D$5:$D$538,'Análise'!$B32,'Lançamentos'!$C$5:$C$538,'Análise'!D$13)</f>
        <v>0</v>
      </c>
      <c r="E32" s="21">
        <f>SUMIFS('Lançamentos'!$H$5:$H$538,'Lançamentos'!$D$5:$D$538,'Análise'!$B32,'Lançamentos'!$C$5:$C$538,'Análise'!E$13)</f>
        <v>0</v>
      </c>
      <c r="F32" s="21">
        <f>SUMIFS('Lançamentos'!$H$5:$H$538,'Lançamentos'!$D$5:$D$538,'Análise'!$B32,'Lançamentos'!$C$5:$C$538,'Análise'!F$13)</f>
        <v>0</v>
      </c>
      <c r="G32" s="21">
        <f>SUMIFS('Lançamentos'!$H$5:$H$538,'Lançamentos'!$D$5:$D$538,'Análise'!$B32,'Lançamentos'!$C$5:$C$538,'Análise'!G$13)</f>
        <v>0</v>
      </c>
      <c r="H32" s="21">
        <f>SUMIFS('Lançamentos'!$H$5:$H$538,'Lançamentos'!$D$5:$D$538,'Análise'!$B32,'Lançamentos'!$C$5:$C$538,'Análise'!H$13)</f>
        <v>0</v>
      </c>
      <c r="I32" s="21">
        <f>SUMIFS('Lançamentos'!$H$5:$H$538,'Lançamentos'!$D$5:$D$538,'Análise'!$B32,'Lançamentos'!$C$5:$C$538,'Análise'!I$13)</f>
        <v>0</v>
      </c>
      <c r="J32" s="21">
        <f>SUMIFS('Lançamentos'!$H$5:$H$538,'Lançamentos'!$D$5:$D$538,'Análise'!$B32,'Lançamentos'!$C$5:$C$538,'Análise'!J$13)</f>
        <v>148</v>
      </c>
      <c r="K32" s="21">
        <f>SUMIFS('Lançamentos'!$H$5:$H$538,'Lançamentos'!$D$5:$D$538,'Análise'!$B32,'Lançamentos'!$C$5:$C$538,'Análise'!K$13)</f>
        <v>0</v>
      </c>
      <c r="L32" s="21">
        <f>SUMIFS('Lançamentos'!$H$5:$H$538,'Lançamentos'!$D$5:$D$538,'Análise'!$B32,'Lançamentos'!$C$5:$C$538,'Análise'!L$13)</f>
        <v>0</v>
      </c>
      <c r="M32" s="21">
        <f>SUMIFS('Lançamentos'!$H$5:$H$538,'Lançamentos'!$D$5:$D$538,'Análise'!$B32,'Lançamentos'!$C$5:$C$538,'Análise'!M$13)</f>
        <v>0</v>
      </c>
      <c r="N32" s="21">
        <f>SUMIFS('Lançamentos'!$H$5:$H$538,'Lançamentos'!$D$5:$D$538,'Análise'!$B32,'Lançamentos'!$C$5:$C$538,'Análise'!N$13)</f>
        <v>0</v>
      </c>
      <c r="O32" s="21">
        <f>SUMIFS('Lançamentos'!$H$5:$H$538,'Lançamentos'!$D$5:$D$538,'Análise'!$B32,'Lançamentos'!$C$5:$C$538,'Análise'!O$13)</f>
        <v>0</v>
      </c>
      <c r="P32" s="21">
        <f>SUMIFS('Lançamentos'!$H$5:$H$538,'Lançamentos'!$D$5:$D$538,'Análise'!$B32,'Lançamentos'!$C$5:$C$538,'Análise'!P$13)</f>
        <v>0</v>
      </c>
      <c r="Q32" s="59"/>
      <c r="R32" s="59"/>
      <c r="S32" s="59"/>
      <c r="T32" s="59"/>
      <c r="U32" s="59"/>
    </row>
    <row r="33" ht="15.75" customHeight="1">
      <c r="B33" s="59" t="str">
        <f>Planilha1!B18</f>
        <v>RMattheis</v>
      </c>
      <c r="C33" s="21">
        <f>SUMIFS('Lançamentos'!$H$5:$H$538,'Lançamentos'!$D$5:$D$538,'Análise'!$B33,'Lançamentos'!$C$5:$C$538,'Análise'!C$13)</f>
        <v>0</v>
      </c>
      <c r="D33" s="21">
        <f>SUMIFS('Lançamentos'!$H$5:$H$538,'Lançamentos'!$D$5:$D$538,'Análise'!$B33,'Lançamentos'!$C$5:$C$538,'Análise'!D$13)</f>
        <v>0</v>
      </c>
      <c r="E33" s="21">
        <f>SUMIFS('Lançamentos'!$H$5:$H$538,'Lançamentos'!$D$5:$D$538,'Análise'!$B33,'Lançamentos'!$C$5:$C$538,'Análise'!E$13)</f>
        <v>0</v>
      </c>
      <c r="F33" s="21">
        <f>SUMIFS('Lançamentos'!$H$5:$H$538,'Lançamentos'!$D$5:$D$538,'Análise'!$B33,'Lançamentos'!$C$5:$C$538,'Análise'!F$13)</f>
        <v>0</v>
      </c>
      <c r="G33" s="21">
        <f>SUMIFS('Lançamentos'!$H$5:$H$538,'Lançamentos'!$D$5:$D$538,'Análise'!$B33,'Lançamentos'!$C$5:$C$538,'Análise'!G$13)</f>
        <v>0</v>
      </c>
      <c r="H33" s="21">
        <f>SUMIFS('Lançamentos'!$H$5:$H$538,'Lançamentos'!$D$5:$D$538,'Análise'!$B33,'Lançamentos'!$C$5:$C$538,'Análise'!H$13)</f>
        <v>0</v>
      </c>
      <c r="I33" s="21">
        <f>SUMIFS('Lançamentos'!$H$5:$H$538,'Lançamentos'!$D$5:$D$538,'Análise'!$B33,'Lançamentos'!$C$5:$C$538,'Análise'!I$13)</f>
        <v>0</v>
      </c>
      <c r="J33" s="21">
        <f>SUMIFS('Lançamentos'!$H$5:$H$538,'Lançamentos'!$D$5:$D$538,'Análise'!$B33,'Lançamentos'!$C$5:$C$538,'Análise'!J$13)</f>
        <v>0</v>
      </c>
      <c r="K33" s="21">
        <f>SUMIFS('Lançamentos'!$H$5:$H$538,'Lançamentos'!$D$5:$D$538,'Análise'!$B33,'Lançamentos'!$C$5:$C$538,'Análise'!K$13)</f>
        <v>5500</v>
      </c>
      <c r="L33" s="21">
        <f>SUMIFS('Lançamentos'!$H$5:$H$538,'Lançamentos'!$D$5:$D$538,'Análise'!$B33,'Lançamentos'!$C$5:$C$538,'Análise'!L$13)</f>
        <v>0</v>
      </c>
      <c r="M33" s="21">
        <f>SUMIFS('Lançamentos'!$H$5:$H$538,'Lançamentos'!$D$5:$D$538,'Análise'!$B33,'Lançamentos'!$C$5:$C$538,'Análise'!M$13)</f>
        <v>0</v>
      </c>
      <c r="N33" s="21">
        <f>SUMIFS('Lançamentos'!$H$5:$H$538,'Lançamentos'!$D$5:$D$538,'Análise'!$B33,'Lançamentos'!$C$5:$C$538,'Análise'!N$13)</f>
        <v>0</v>
      </c>
      <c r="O33" s="21">
        <f>SUMIFS('Lançamentos'!$H$5:$H$538,'Lançamentos'!$D$5:$D$538,'Análise'!$B33,'Lançamentos'!$C$5:$C$538,'Análise'!O$13)</f>
        <v>0</v>
      </c>
      <c r="P33" s="21">
        <f>SUMIFS('Lançamentos'!$H$5:$H$538,'Lançamentos'!$D$5:$D$538,'Análise'!$B33,'Lançamentos'!$C$5:$C$538,'Análise'!P$13)</f>
        <v>0</v>
      </c>
      <c r="Q33" s="59"/>
      <c r="R33" s="59"/>
      <c r="S33" s="59"/>
      <c r="T33" s="59"/>
      <c r="U33" s="59"/>
    </row>
    <row r="34" ht="15.75" customHeight="1">
      <c r="B34" s="76" t="s">
        <v>172</v>
      </c>
      <c r="C34" s="77">
        <f t="shared" ref="C34:U34" si="7">SUM(C35:C51)</f>
        <v>705.82</v>
      </c>
      <c r="D34" s="77">
        <f t="shared" si="7"/>
        <v>0</v>
      </c>
      <c r="E34" s="77">
        <f t="shared" si="7"/>
        <v>2726</v>
      </c>
      <c r="F34" s="77">
        <f t="shared" si="7"/>
        <v>0</v>
      </c>
      <c r="G34" s="77">
        <f t="shared" si="7"/>
        <v>0</v>
      </c>
      <c r="H34" s="77">
        <f t="shared" si="7"/>
        <v>20441.19</v>
      </c>
      <c r="I34" s="77">
        <f t="shared" si="7"/>
        <v>18468.01</v>
      </c>
      <c r="J34" s="77">
        <f t="shared" si="7"/>
        <v>21585.48</v>
      </c>
      <c r="K34" s="77">
        <f t="shared" si="7"/>
        <v>23333.9</v>
      </c>
      <c r="L34" s="77">
        <f t="shared" si="7"/>
        <v>0</v>
      </c>
      <c r="M34" s="77">
        <f t="shared" si="7"/>
        <v>0</v>
      </c>
      <c r="N34" s="77">
        <f t="shared" si="7"/>
        <v>0</v>
      </c>
      <c r="O34" s="77">
        <f t="shared" si="7"/>
        <v>0</v>
      </c>
      <c r="P34" s="77">
        <f t="shared" si="7"/>
        <v>0</v>
      </c>
      <c r="Q34" s="77">
        <f t="shared" si="7"/>
        <v>0</v>
      </c>
      <c r="R34" s="77">
        <f t="shared" si="7"/>
        <v>0</v>
      </c>
      <c r="S34" s="77">
        <f t="shared" si="7"/>
        <v>0</v>
      </c>
      <c r="T34" s="77">
        <f t="shared" si="7"/>
        <v>0</v>
      </c>
      <c r="U34" s="77">
        <f t="shared" si="7"/>
        <v>0</v>
      </c>
    </row>
    <row r="35" ht="15.75" customHeight="1">
      <c r="B35" s="78" t="str">
        <f>Planilha1!B19</f>
        <v>Salário Sócias</v>
      </c>
      <c r="C35" s="79">
        <f>SUMIFS('Lançamentos'!$H$5:$H$538,'Lançamentos'!$D$5:$D$538,'Análise'!$B35,'Lançamentos'!$C$5:$C$538,'Análise'!C$13)</f>
        <v>0</v>
      </c>
      <c r="D35" s="79">
        <f>SUMIFS('Lançamentos'!$H$5:$H$538,'Lançamentos'!$D$5:$D$538,'Análise'!$B35,'Lançamentos'!$C$5:$C$538,'Análise'!D$13)</f>
        <v>0</v>
      </c>
      <c r="E35" s="79">
        <f>SUMIFS('Lançamentos'!$H$5:$H$538,'Lançamentos'!$D$5:$D$538,'Análise'!$B35,'Lançamentos'!$C$5:$C$538,'Análise'!E$13)</f>
        <v>0</v>
      </c>
      <c r="F35" s="79">
        <f>SUMIFS('Lançamentos'!$H$5:$H$538,'Lançamentos'!$D$5:$D$538,'Análise'!$B35,'Lançamentos'!$C$5:$C$538,'Análise'!F$13)</f>
        <v>0</v>
      </c>
      <c r="G35" s="79">
        <f>SUMIFS('Lançamentos'!$H$5:$H$538,'Lançamentos'!$D$5:$D$538,'Análise'!$B35,'Lançamentos'!$C$5:$C$538,'Análise'!G$13)</f>
        <v>0</v>
      </c>
      <c r="H35" s="79">
        <f>SUMIFS('Lançamentos'!$H$5:$H$538,'Lançamentos'!$D$5:$D$538,'Análise'!$B35,'Lançamentos'!$C$5:$C$538,'Análise'!H$13)</f>
        <v>14000</v>
      </c>
      <c r="I35" s="79">
        <f>SUMIFS('Lançamentos'!$H$5:$H$538,'Lançamentos'!$D$5:$D$538,'Análise'!$B35,'Lançamentos'!$C$5:$C$538,'Análise'!I$13)</f>
        <v>14150</v>
      </c>
      <c r="J35" s="79">
        <f>SUMIFS('Lançamentos'!$H$5:$H$538,'Lançamentos'!$D$5:$D$538,'Análise'!$B35,'Lançamentos'!$C$5:$C$538,'Análise'!J$13)</f>
        <v>13850</v>
      </c>
      <c r="K35" s="79">
        <f>SUMIFS('Lançamentos'!$H$5:$H$538,'Lançamentos'!$D$5:$D$538,'Análise'!$B35,'Lançamentos'!$C$5:$C$538,'Análise'!K$13)</f>
        <v>13850</v>
      </c>
      <c r="L35" s="79">
        <f>SUMIFS('Lançamentos'!$H$5:$H$538,'Lançamentos'!$D$5:$D$538,'Análise'!$B35,'Lançamentos'!$C$5:$C$538,'Análise'!L$13)</f>
        <v>0</v>
      </c>
      <c r="M35" s="79">
        <f>SUMIFS('Lançamentos'!$H$5:$H$538,'Lançamentos'!$D$5:$D$538,'Análise'!$B35,'Lançamentos'!$C$5:$C$538,'Análise'!M$13)</f>
        <v>0</v>
      </c>
      <c r="N35" s="79">
        <f>SUMIFS('Lançamentos'!$H$5:$H$538,'Lançamentos'!$D$5:$D$538,'Análise'!$B35,'Lançamentos'!$C$5:$C$538,'Análise'!N$13)</f>
        <v>0</v>
      </c>
      <c r="O35" s="79">
        <f>SUMIFS('Lançamentos'!$H$5:$H$538,'Lançamentos'!$D$5:$D$538,'Análise'!$B35,'Lançamentos'!$C$5:$C$538,'Análise'!O$13)</f>
        <v>0</v>
      </c>
      <c r="P35" s="79">
        <f>SUMIFS('Lançamentos'!$H$5:$H$538,'Lançamentos'!$D$5:$D$538,'Análise'!$B35,'Lançamentos'!$C$5:$C$538,'Análise'!P$13)</f>
        <v>0</v>
      </c>
      <c r="Q35" s="78"/>
      <c r="R35" s="78"/>
      <c r="S35" s="78"/>
      <c r="T35" s="78"/>
      <c r="U35" s="78"/>
    </row>
    <row r="36" ht="15.75" customHeight="1">
      <c r="B36" s="78" t="str">
        <f>Planilha1!B20</f>
        <v>Locomoção etapas/Uber</v>
      </c>
      <c r="C36" s="79">
        <f>SUMIFS('Lançamentos'!$H$5:$H$538,'Lançamentos'!$D$5:$D$538,'Análise'!$B36,'Lançamentos'!$C$5:$C$538,'Análise'!C$13)</f>
        <v>0</v>
      </c>
      <c r="D36" s="79">
        <f>SUMIFS('Lançamentos'!$H$5:$H$538,'Lançamentos'!$D$5:$D$538,'Análise'!$B36,'Lançamentos'!$C$5:$C$538,'Análise'!D$13)</f>
        <v>0</v>
      </c>
      <c r="E36" s="79">
        <f>SUMIFS('Lançamentos'!$H$5:$H$538,'Lançamentos'!$D$5:$D$538,'Análise'!$B36,'Lançamentos'!$C$5:$C$538,'Análise'!E$13)</f>
        <v>0</v>
      </c>
      <c r="F36" s="79">
        <f>SUMIFS('Lançamentos'!$H$5:$H$538,'Lançamentos'!$D$5:$D$538,'Análise'!$B36,'Lançamentos'!$C$5:$C$538,'Análise'!F$13)</f>
        <v>0</v>
      </c>
      <c r="G36" s="79">
        <f>SUMIFS('Lançamentos'!$H$5:$H$538,'Lançamentos'!$D$5:$D$538,'Análise'!$B36,'Lançamentos'!$C$5:$C$538,'Análise'!G$13)</f>
        <v>0</v>
      </c>
      <c r="H36" s="79">
        <f>SUMIFS('Lançamentos'!$H$5:$H$538,'Lançamentos'!$D$5:$D$538,'Análise'!$B36,'Lançamentos'!$C$5:$C$538,'Análise'!H$13)</f>
        <v>0</v>
      </c>
      <c r="I36" s="79">
        <f>SUMIFS('Lançamentos'!$H$5:$H$538,'Lançamentos'!$D$5:$D$538,'Análise'!$B36,'Lançamentos'!$C$5:$C$538,'Análise'!I$13)</f>
        <v>0</v>
      </c>
      <c r="J36" s="79">
        <f>SUMIFS('Lançamentos'!$H$5:$H$538,'Lançamentos'!$D$5:$D$538,'Análise'!$B36,'Lançamentos'!$C$5:$C$538,'Análise'!J$13)</f>
        <v>300.05</v>
      </c>
      <c r="K36" s="79">
        <f>SUMIFS('Lançamentos'!$H$5:$H$538,'Lançamentos'!$D$5:$D$538,'Análise'!$B36,'Lançamentos'!$C$5:$C$538,'Análise'!K$13)</f>
        <v>0</v>
      </c>
      <c r="L36" s="79">
        <f>SUMIFS('Lançamentos'!$H$5:$H$538,'Lançamentos'!$D$5:$D$538,'Análise'!$B36,'Lançamentos'!$C$5:$C$538,'Análise'!L$13)</f>
        <v>0</v>
      </c>
      <c r="M36" s="79">
        <f>SUMIFS('Lançamentos'!$H$5:$H$538,'Lançamentos'!$D$5:$D$538,'Análise'!$B36,'Lançamentos'!$C$5:$C$538,'Análise'!M$13)</f>
        <v>0</v>
      </c>
      <c r="N36" s="79">
        <f>SUMIFS('Lançamentos'!$H$5:$H$538,'Lançamentos'!$D$5:$D$538,'Análise'!$B36,'Lançamentos'!$C$5:$C$538,'Análise'!N$13)</f>
        <v>0</v>
      </c>
      <c r="O36" s="79">
        <f>SUMIFS('Lançamentos'!$H$5:$H$538,'Lançamentos'!$D$5:$D$538,'Análise'!$B36,'Lançamentos'!$C$5:$C$538,'Análise'!O$13)</f>
        <v>0</v>
      </c>
      <c r="P36" s="79">
        <f>SUMIFS('Lançamentos'!$H$5:$H$538,'Lançamentos'!$D$5:$D$538,'Análise'!$B36,'Lançamentos'!$C$5:$C$538,'Análise'!P$13)</f>
        <v>0</v>
      </c>
      <c r="Q36" s="78"/>
      <c r="R36" s="78"/>
      <c r="S36" s="78"/>
      <c r="T36" s="78"/>
      <c r="U36" s="78"/>
    </row>
    <row r="37" ht="15.75" customHeight="1">
      <c r="B37" s="78" t="str">
        <f>Planilha1!B21</f>
        <v>Designer</v>
      </c>
      <c r="C37" s="79">
        <f>SUMIFS('Lançamentos'!$H$5:$H$538,'Lançamentos'!$D$5:$D$538,'Análise'!$B37,'Lançamentos'!$C$5:$C$538,'Análise'!C$13)</f>
        <v>0</v>
      </c>
      <c r="D37" s="79">
        <f>SUMIFS('Lançamentos'!$H$5:$H$538,'Lançamentos'!$D$5:$D$538,'Análise'!$B37,'Lançamentos'!$C$5:$C$538,'Análise'!D$13)</f>
        <v>0</v>
      </c>
      <c r="E37" s="79">
        <f>SUMIFS('Lançamentos'!$H$5:$H$538,'Lançamentos'!$D$5:$D$538,'Análise'!$B37,'Lançamentos'!$C$5:$C$538,'Análise'!E$13)</f>
        <v>0</v>
      </c>
      <c r="F37" s="79">
        <f>SUMIFS('Lançamentos'!$H$5:$H$538,'Lançamentos'!$D$5:$D$538,'Análise'!$B37,'Lançamentos'!$C$5:$C$538,'Análise'!F$13)</f>
        <v>0</v>
      </c>
      <c r="G37" s="79">
        <f>SUMIFS('Lançamentos'!$H$5:$H$538,'Lançamentos'!$D$5:$D$538,'Análise'!$B37,'Lançamentos'!$C$5:$C$538,'Análise'!G$13)</f>
        <v>0</v>
      </c>
      <c r="H37" s="79">
        <f>SUMIFS('Lançamentos'!$H$5:$H$538,'Lançamentos'!$D$5:$D$538,'Análise'!$B37,'Lançamentos'!$C$5:$C$538,'Análise'!H$13)</f>
        <v>200</v>
      </c>
      <c r="I37" s="79">
        <f>SUMIFS('Lançamentos'!$H$5:$H$538,'Lançamentos'!$D$5:$D$538,'Análise'!$B37,'Lançamentos'!$C$5:$C$538,'Análise'!I$13)</f>
        <v>940</v>
      </c>
      <c r="J37" s="79">
        <f>SUMIFS('Lançamentos'!$H$5:$H$538,'Lançamentos'!$D$5:$D$538,'Análise'!$B37,'Lançamentos'!$C$5:$C$538,'Análise'!J$13)</f>
        <v>640</v>
      </c>
      <c r="K37" s="79">
        <f>SUMIFS('Lançamentos'!$H$5:$H$538,'Lançamentos'!$D$5:$D$538,'Análise'!$B37,'Lançamentos'!$C$5:$C$538,'Análise'!K$13)</f>
        <v>640</v>
      </c>
      <c r="L37" s="79">
        <f>SUMIFS('Lançamentos'!$H$5:$H$538,'Lançamentos'!$D$5:$D$538,'Análise'!$B37,'Lançamentos'!$C$5:$C$538,'Análise'!L$13)</f>
        <v>0</v>
      </c>
      <c r="M37" s="79">
        <f>SUMIFS('Lançamentos'!$H$5:$H$538,'Lançamentos'!$D$5:$D$538,'Análise'!$B37,'Lançamentos'!$C$5:$C$538,'Análise'!M$13)</f>
        <v>0</v>
      </c>
      <c r="N37" s="79">
        <f>SUMIFS('Lançamentos'!$H$5:$H$538,'Lançamentos'!$D$5:$D$538,'Análise'!$B37,'Lançamentos'!$C$5:$C$538,'Análise'!N$13)</f>
        <v>0</v>
      </c>
      <c r="O37" s="79">
        <f>SUMIFS('Lançamentos'!$H$5:$H$538,'Lançamentos'!$D$5:$D$538,'Análise'!$B37,'Lançamentos'!$C$5:$C$538,'Análise'!O$13)</f>
        <v>0</v>
      </c>
      <c r="P37" s="79">
        <f>SUMIFS('Lançamentos'!$H$5:$H$538,'Lançamentos'!$D$5:$D$538,'Análise'!$B37,'Lançamentos'!$C$5:$C$538,'Análise'!P$13)</f>
        <v>0</v>
      </c>
      <c r="Q37" s="78"/>
      <c r="R37" s="78"/>
      <c r="S37" s="78"/>
      <c r="T37" s="78"/>
      <c r="U37" s="78"/>
    </row>
    <row r="38" ht="15.75" customHeight="1">
      <c r="B38" s="78" t="str">
        <f>Planilha1!B22</f>
        <v>Poupança - meses sem corrida</v>
      </c>
      <c r="C38" s="79">
        <f>SUMIFS('Lançamentos'!$H$5:$H$538,'Lançamentos'!$D$5:$D$538,'Análise'!$B38,'Lançamentos'!$C$5:$C$538,'Análise'!C$13)</f>
        <v>0</v>
      </c>
      <c r="D38" s="79">
        <f>SUMIFS('Lançamentos'!$H$5:$H$538,'Lançamentos'!$D$5:$D$538,'Análise'!$B38,'Lançamentos'!$C$5:$C$538,'Análise'!D$13)</f>
        <v>0</v>
      </c>
      <c r="E38" s="79">
        <f>SUMIFS('Lançamentos'!$H$5:$H$538,'Lançamentos'!$D$5:$D$538,'Análise'!$B38,'Lançamentos'!$C$5:$C$538,'Análise'!E$13)</f>
        <v>0</v>
      </c>
      <c r="F38" s="79">
        <f>SUMIFS('Lançamentos'!$H$5:$H$538,'Lançamentos'!$D$5:$D$538,'Análise'!$B38,'Lançamentos'!$C$5:$C$538,'Análise'!F$13)</f>
        <v>0</v>
      </c>
      <c r="G38" s="79">
        <f>SUMIFS('Lançamentos'!$H$5:$H$538,'Lançamentos'!$D$5:$D$538,'Análise'!$B38,'Lançamentos'!$C$5:$C$538,'Análise'!G$13)</f>
        <v>0</v>
      </c>
      <c r="H38" s="79">
        <f>SUMIFS('Lançamentos'!$H$5:$H$538,'Lançamentos'!$D$5:$D$538,'Análise'!$B38,'Lançamentos'!$C$5:$C$538,'Análise'!H$13)</f>
        <v>0</v>
      </c>
      <c r="I38" s="79">
        <f>SUMIFS('Lançamentos'!$H$5:$H$538,'Lançamentos'!$D$5:$D$538,'Análise'!$B38,'Lançamentos'!$C$5:$C$538,'Análise'!I$13)</f>
        <v>0</v>
      </c>
      <c r="J38" s="79">
        <f>SUMIFS('Lançamentos'!$H$5:$H$538,'Lançamentos'!$D$5:$D$538,'Análise'!$B38,'Lançamentos'!$C$5:$C$538,'Análise'!J$13)</f>
        <v>3600</v>
      </c>
      <c r="K38" s="79">
        <f>SUMIFS('Lançamentos'!$H$5:$H$538,'Lançamentos'!$D$5:$D$538,'Análise'!$B38,'Lançamentos'!$C$5:$C$538,'Análise'!K$13)</f>
        <v>3600</v>
      </c>
      <c r="L38" s="79">
        <f>SUMIFS('Lançamentos'!$H$5:$H$538,'Lançamentos'!$D$5:$D$538,'Análise'!$B38,'Lançamentos'!$C$5:$C$538,'Análise'!L$13)</f>
        <v>0</v>
      </c>
      <c r="M38" s="79">
        <f>SUMIFS('Lançamentos'!$H$5:$H$538,'Lançamentos'!$D$5:$D$538,'Análise'!$B38,'Lançamentos'!$C$5:$C$538,'Análise'!M$13)</f>
        <v>0</v>
      </c>
      <c r="N38" s="79">
        <f>SUMIFS('Lançamentos'!$H$5:$H$538,'Lançamentos'!$D$5:$D$538,'Análise'!$B38,'Lançamentos'!$C$5:$C$538,'Análise'!N$13)</f>
        <v>0</v>
      </c>
      <c r="O38" s="79">
        <f>SUMIFS('Lançamentos'!$H$5:$H$538,'Lançamentos'!$D$5:$D$538,'Análise'!$B38,'Lançamentos'!$C$5:$C$538,'Análise'!O$13)</f>
        <v>0</v>
      </c>
      <c r="P38" s="79">
        <f>SUMIFS('Lançamentos'!$H$5:$H$538,'Lançamentos'!$D$5:$D$538,'Análise'!$B38,'Lançamentos'!$C$5:$C$538,'Análise'!P$13)</f>
        <v>0</v>
      </c>
      <c r="Q38" s="78"/>
      <c r="R38" s="78"/>
      <c r="S38" s="78"/>
      <c r="T38" s="78"/>
      <c r="U38" s="78"/>
    </row>
    <row r="39" ht="15.75" customHeight="1">
      <c r="B39" s="78" t="str">
        <f>Planilha1!B23</f>
        <v>Impostos</v>
      </c>
      <c r="C39" s="79">
        <f>SUMIFS('Lançamentos'!$H$5:$H$538,'Lançamentos'!$D$5:$D$538,'Análise'!$B39,'Lançamentos'!$C$5:$C$538,'Análise'!C$13)</f>
        <v>0</v>
      </c>
      <c r="D39" s="79">
        <f>SUMIFS('Lançamentos'!$H$5:$H$538,'Lançamentos'!$D$5:$D$538,'Análise'!$B39,'Lançamentos'!$C$5:$C$538,'Análise'!D$13)</f>
        <v>0</v>
      </c>
      <c r="E39" s="79">
        <f>SUMIFS('Lançamentos'!$H$5:$H$538,'Lançamentos'!$D$5:$D$538,'Análise'!$B39,'Lançamentos'!$C$5:$C$538,'Análise'!E$13)</f>
        <v>0</v>
      </c>
      <c r="F39" s="79">
        <f>SUMIFS('Lançamentos'!$H$5:$H$538,'Lançamentos'!$D$5:$D$538,'Análise'!$B39,'Lançamentos'!$C$5:$C$538,'Análise'!F$13)</f>
        <v>0</v>
      </c>
      <c r="G39" s="79">
        <f>SUMIFS('Lançamentos'!$H$5:$H$538,'Lançamentos'!$D$5:$D$538,'Análise'!$B39,'Lançamentos'!$C$5:$C$538,'Análise'!G$13)</f>
        <v>0</v>
      </c>
      <c r="H39" s="79">
        <f>SUMIFS('Lançamentos'!$H$5:$H$538,'Lançamentos'!$D$5:$D$538,'Análise'!$B39,'Lançamentos'!$C$5:$C$538,'Análise'!H$13)</f>
        <v>0</v>
      </c>
      <c r="I39" s="79">
        <f>SUMIFS('Lançamentos'!$H$5:$H$538,'Lançamentos'!$D$5:$D$538,'Análise'!$B39,'Lançamentos'!$C$5:$C$538,'Análise'!I$13)</f>
        <v>0</v>
      </c>
      <c r="J39" s="79">
        <f>SUMIFS('Lançamentos'!$H$5:$H$538,'Lançamentos'!$D$5:$D$538,'Análise'!$B39,'Lançamentos'!$C$5:$C$538,'Análise'!J$13)</f>
        <v>0</v>
      </c>
      <c r="K39" s="79">
        <f>SUMIFS('Lançamentos'!$H$5:$H$538,'Lançamentos'!$D$5:$D$538,'Análise'!$B39,'Lançamentos'!$C$5:$C$538,'Análise'!K$13)</f>
        <v>0</v>
      </c>
      <c r="L39" s="79">
        <f>SUMIFS('Lançamentos'!$H$5:$H$538,'Lançamentos'!$D$5:$D$538,'Análise'!$B39,'Lançamentos'!$C$5:$C$538,'Análise'!L$13)</f>
        <v>0</v>
      </c>
      <c r="M39" s="79">
        <f>SUMIFS('Lançamentos'!$H$5:$H$538,'Lançamentos'!$D$5:$D$538,'Análise'!$B39,'Lançamentos'!$C$5:$C$538,'Análise'!M$13)</f>
        <v>0</v>
      </c>
      <c r="N39" s="79">
        <f>SUMIFS('Lançamentos'!$H$5:$H$538,'Lançamentos'!$D$5:$D$538,'Análise'!$B39,'Lançamentos'!$C$5:$C$538,'Análise'!N$13)</f>
        <v>0</v>
      </c>
      <c r="O39" s="79">
        <f>SUMIFS('Lançamentos'!$H$5:$H$538,'Lançamentos'!$D$5:$D$538,'Análise'!$B39,'Lançamentos'!$C$5:$C$538,'Análise'!O$13)</f>
        <v>0</v>
      </c>
      <c r="P39" s="79">
        <f>SUMIFS('Lançamentos'!$H$5:$H$538,'Lançamentos'!$D$5:$D$538,'Análise'!$B39,'Lançamentos'!$C$5:$C$538,'Análise'!P$13)</f>
        <v>0</v>
      </c>
      <c r="Q39" s="78"/>
      <c r="R39" s="78"/>
      <c r="S39" s="78"/>
      <c r="T39" s="78"/>
      <c r="U39" s="78"/>
    </row>
    <row r="40" ht="15.75" customHeight="1">
      <c r="B40" s="78" t="str">
        <f>Planilha1!B24</f>
        <v>Pagamento Freelas</v>
      </c>
      <c r="C40" s="79">
        <f>SUMIFS('Lançamentos'!$H$5:$H$538,'Lançamentos'!$D$5:$D$538,'Análise'!$B40,'Lançamentos'!$C$5:$C$538,'Análise'!C$13)</f>
        <v>0</v>
      </c>
      <c r="D40" s="79">
        <f>SUMIFS('Lançamentos'!$H$5:$H$538,'Lançamentos'!$D$5:$D$538,'Análise'!$B40,'Lançamentos'!$C$5:$C$538,'Análise'!D$13)</f>
        <v>0</v>
      </c>
      <c r="E40" s="79">
        <f>SUMIFS('Lançamentos'!$H$5:$H$538,'Lançamentos'!$D$5:$D$538,'Análise'!$B40,'Lançamentos'!$C$5:$C$538,'Análise'!E$13)</f>
        <v>0</v>
      </c>
      <c r="F40" s="79">
        <f>SUMIFS('Lançamentos'!$H$5:$H$538,'Lançamentos'!$D$5:$D$538,'Análise'!$B40,'Lançamentos'!$C$5:$C$538,'Análise'!F$13)</f>
        <v>0</v>
      </c>
      <c r="G40" s="79">
        <f>SUMIFS('Lançamentos'!$H$5:$H$538,'Lançamentos'!$D$5:$D$538,'Análise'!$B40,'Lançamentos'!$C$5:$C$538,'Análise'!G$13)</f>
        <v>0</v>
      </c>
      <c r="H40" s="79">
        <f>SUMIFS('Lançamentos'!$H$5:$H$538,'Lançamentos'!$D$5:$D$538,'Análise'!$B40,'Lançamentos'!$C$5:$C$538,'Análise'!H$13)</f>
        <v>4320.18</v>
      </c>
      <c r="I40" s="79">
        <f>SUMIFS('Lançamentos'!$H$5:$H$538,'Lançamentos'!$D$5:$D$538,'Análise'!$B40,'Lançamentos'!$C$5:$C$538,'Análise'!I$13)</f>
        <v>0</v>
      </c>
      <c r="J40" s="79">
        <f>SUMIFS('Lançamentos'!$H$5:$H$538,'Lançamentos'!$D$5:$D$538,'Análise'!$B40,'Lançamentos'!$C$5:$C$538,'Análise'!J$13)</f>
        <v>1715</v>
      </c>
      <c r="K40" s="79">
        <f>SUMIFS('Lançamentos'!$H$5:$H$538,'Lançamentos'!$D$5:$D$538,'Análise'!$B40,'Lançamentos'!$C$5:$C$538,'Análise'!K$13)</f>
        <v>1000</v>
      </c>
      <c r="L40" s="79">
        <f>SUMIFS('Lançamentos'!$H$5:$H$538,'Lançamentos'!$D$5:$D$538,'Análise'!$B40,'Lançamentos'!$C$5:$C$538,'Análise'!L$13)</f>
        <v>0</v>
      </c>
      <c r="M40" s="79">
        <f>SUMIFS('Lançamentos'!$H$5:$H$538,'Lançamentos'!$D$5:$D$538,'Análise'!$B40,'Lançamentos'!$C$5:$C$538,'Análise'!M$13)</f>
        <v>0</v>
      </c>
      <c r="N40" s="79">
        <f>SUMIFS('Lançamentos'!$H$5:$H$538,'Lançamentos'!$D$5:$D$538,'Análise'!$B40,'Lançamentos'!$C$5:$C$538,'Análise'!N$13)</f>
        <v>0</v>
      </c>
      <c r="O40" s="79">
        <f>SUMIFS('Lançamentos'!$H$5:$H$538,'Lançamentos'!$D$5:$D$538,'Análise'!$B40,'Lançamentos'!$C$5:$C$538,'Análise'!O$13)</f>
        <v>0</v>
      </c>
      <c r="P40" s="79">
        <f>SUMIFS('Lançamentos'!$H$5:$H$538,'Lançamentos'!$D$5:$D$538,'Análise'!$B40,'Lançamentos'!$C$5:$C$538,'Análise'!P$13)</f>
        <v>0</v>
      </c>
      <c r="Q40" s="78"/>
      <c r="R40" s="78"/>
      <c r="S40" s="78"/>
      <c r="T40" s="78"/>
      <c r="U40" s="78"/>
    </row>
    <row r="41" ht="15.75" customHeight="1">
      <c r="B41" s="78" t="str">
        <f>Planilha1!B25</f>
        <v>Reembolso sócias </v>
      </c>
      <c r="C41" s="79">
        <f>SUMIFS('Lançamentos'!$H$5:$H$538,'Lançamentos'!$D$5:$D$538,'Análise'!$B41,'Lançamentos'!$C$5:$C$538,'Análise'!C$13)</f>
        <v>0</v>
      </c>
      <c r="D41" s="79">
        <f>SUMIFS('Lançamentos'!$H$5:$H$538,'Lançamentos'!$D$5:$D$538,'Análise'!$B41,'Lançamentos'!$C$5:$C$538,'Análise'!D$13)</f>
        <v>0</v>
      </c>
      <c r="E41" s="79">
        <f>SUMIFS('Lançamentos'!$H$5:$H$538,'Lançamentos'!$D$5:$D$538,'Análise'!$B41,'Lançamentos'!$C$5:$C$538,'Análise'!E$13)</f>
        <v>0</v>
      </c>
      <c r="F41" s="79">
        <f>SUMIFS('Lançamentos'!$H$5:$H$538,'Lançamentos'!$D$5:$D$538,'Análise'!$B41,'Lançamentos'!$C$5:$C$538,'Análise'!F$13)</f>
        <v>0</v>
      </c>
      <c r="G41" s="79">
        <f>SUMIFS('Lançamentos'!$H$5:$H$538,'Lançamentos'!$D$5:$D$538,'Análise'!$B41,'Lançamentos'!$C$5:$C$538,'Análise'!G$13)</f>
        <v>0</v>
      </c>
      <c r="H41" s="79">
        <f>SUMIFS('Lançamentos'!$H$5:$H$538,'Lançamentos'!$D$5:$D$538,'Análise'!$B41,'Lançamentos'!$C$5:$C$538,'Análise'!H$13)</f>
        <v>0</v>
      </c>
      <c r="I41" s="79">
        <f>SUMIFS('Lançamentos'!$H$5:$H$538,'Lançamentos'!$D$5:$D$538,'Análise'!$B41,'Lançamentos'!$C$5:$C$538,'Análise'!I$13)</f>
        <v>61</v>
      </c>
      <c r="J41" s="79">
        <f>SUMIFS('Lançamentos'!$H$5:$H$538,'Lançamentos'!$D$5:$D$538,'Análise'!$B41,'Lançamentos'!$C$5:$C$538,'Análise'!J$13)</f>
        <v>234.2</v>
      </c>
      <c r="K41" s="79">
        <f>SUMIFS('Lançamentos'!$H$5:$H$538,'Lançamentos'!$D$5:$D$538,'Análise'!$B41,'Lançamentos'!$C$5:$C$538,'Análise'!K$13)</f>
        <v>2816</v>
      </c>
      <c r="L41" s="79">
        <f>SUMIFS('Lançamentos'!$H$5:$H$538,'Lançamentos'!$D$5:$D$538,'Análise'!$B41,'Lançamentos'!$C$5:$C$538,'Análise'!L$13)</f>
        <v>0</v>
      </c>
      <c r="M41" s="79">
        <f>SUMIFS('Lançamentos'!$H$5:$H$538,'Lançamentos'!$D$5:$D$538,'Análise'!$B41,'Lançamentos'!$C$5:$C$538,'Análise'!M$13)</f>
        <v>0</v>
      </c>
      <c r="N41" s="79">
        <f>SUMIFS('Lançamentos'!$H$5:$H$538,'Lançamentos'!$D$5:$D$538,'Análise'!$B41,'Lançamentos'!$C$5:$C$538,'Análise'!N$13)</f>
        <v>0</v>
      </c>
      <c r="O41" s="79">
        <f>SUMIFS('Lançamentos'!$H$5:$H$538,'Lançamentos'!$D$5:$D$538,'Análise'!$B41,'Lançamentos'!$C$5:$C$538,'Análise'!O$13)</f>
        <v>0</v>
      </c>
      <c r="P41" s="79">
        <f>SUMIFS('Lançamentos'!$H$5:$H$538,'Lançamentos'!$D$5:$D$538,'Análise'!$B41,'Lançamentos'!$C$5:$C$538,'Análise'!P$13)</f>
        <v>0</v>
      </c>
      <c r="Q41" s="78"/>
      <c r="R41" s="78"/>
      <c r="S41" s="78"/>
      <c r="T41" s="78"/>
      <c r="U41" s="78"/>
    </row>
    <row r="42" ht="15.75" customHeight="1">
      <c r="B42" s="78" t="str">
        <f>Planilha1!B26</f>
        <v>Contador</v>
      </c>
      <c r="C42" s="79">
        <f>SUMIFS('Lançamentos'!$H$5:$H$538,'Lançamentos'!$D$5:$D$538,'Análise'!$B42,'Lançamentos'!$C$5:$C$538,'Análise'!C$13)</f>
        <v>0</v>
      </c>
      <c r="D42" s="79">
        <f>SUMIFS('Lançamentos'!$H$5:$H$538,'Lançamentos'!$D$5:$D$538,'Análise'!$B42,'Lançamentos'!$C$5:$C$538,'Análise'!D$13)</f>
        <v>0</v>
      </c>
      <c r="E42" s="79">
        <f>SUMIFS('Lançamentos'!$H$5:$H$538,'Lançamentos'!$D$5:$D$538,'Análise'!$B42,'Lançamentos'!$C$5:$C$538,'Análise'!E$13)</f>
        <v>0</v>
      </c>
      <c r="F42" s="79">
        <f>SUMIFS('Lançamentos'!$H$5:$H$538,'Lançamentos'!$D$5:$D$538,'Análise'!$B42,'Lançamentos'!$C$5:$C$538,'Análise'!F$13)</f>
        <v>0</v>
      </c>
      <c r="G42" s="79">
        <f>SUMIFS('Lançamentos'!$H$5:$H$538,'Lançamentos'!$D$5:$D$538,'Análise'!$B42,'Lançamentos'!$C$5:$C$538,'Análise'!G$13)</f>
        <v>0</v>
      </c>
      <c r="H42" s="79">
        <f>SUMIFS('Lançamentos'!$H$5:$H$538,'Lançamentos'!$D$5:$D$538,'Análise'!$B42,'Lançamentos'!$C$5:$C$538,'Análise'!H$13)</f>
        <v>0</v>
      </c>
      <c r="I42" s="79">
        <f>SUMIFS('Lançamentos'!$H$5:$H$538,'Lançamentos'!$D$5:$D$538,'Análise'!$B42,'Lançamentos'!$C$5:$C$538,'Análise'!I$13)</f>
        <v>0</v>
      </c>
      <c r="J42" s="79">
        <f>SUMIFS('Lançamentos'!$H$5:$H$538,'Lançamentos'!$D$5:$D$538,'Análise'!$B42,'Lançamentos'!$C$5:$C$538,'Análise'!J$13)</f>
        <v>0</v>
      </c>
      <c r="K42" s="79">
        <f>SUMIFS('Lançamentos'!$H$5:$H$538,'Lançamentos'!$D$5:$D$538,'Análise'!$B42,'Lançamentos'!$C$5:$C$538,'Análise'!K$13)</f>
        <v>0</v>
      </c>
      <c r="L42" s="79">
        <f>SUMIFS('Lançamentos'!$H$5:$H$538,'Lançamentos'!$D$5:$D$538,'Análise'!$B42,'Lançamentos'!$C$5:$C$538,'Análise'!L$13)</f>
        <v>0</v>
      </c>
      <c r="M42" s="79">
        <f>SUMIFS('Lançamentos'!$H$5:$H$538,'Lançamentos'!$D$5:$D$538,'Análise'!$B42,'Lançamentos'!$C$5:$C$538,'Análise'!M$13)</f>
        <v>0</v>
      </c>
      <c r="N42" s="79">
        <f>SUMIFS('Lançamentos'!$H$5:$H$538,'Lançamentos'!$D$5:$D$538,'Análise'!$B42,'Lançamentos'!$C$5:$C$538,'Análise'!N$13)</f>
        <v>0</v>
      </c>
      <c r="O42" s="79">
        <f>SUMIFS('Lançamentos'!$H$5:$H$538,'Lançamentos'!$D$5:$D$538,'Análise'!$B42,'Lançamentos'!$C$5:$C$538,'Análise'!O$13)</f>
        <v>0</v>
      </c>
      <c r="P42" s="79">
        <f>SUMIFS('Lançamentos'!$H$5:$H$538,'Lançamentos'!$D$5:$D$538,'Análise'!$B42,'Lançamentos'!$C$5:$C$538,'Análise'!P$13)</f>
        <v>0</v>
      </c>
      <c r="Q42" s="78"/>
      <c r="R42" s="78"/>
      <c r="S42" s="78"/>
      <c r="T42" s="78"/>
      <c r="U42" s="78"/>
    </row>
    <row r="43" ht="15.75" customHeight="1">
      <c r="B43" s="78" t="str">
        <f>Planilha1!B27</f>
        <v>Uniforme</v>
      </c>
      <c r="C43" s="79">
        <f>SUMIFS('Lançamentos'!$H$5:$H$538,'Lançamentos'!$D$5:$D$538,'Análise'!$B43,'Lançamentos'!$C$5:$C$538,'Análise'!C$13)</f>
        <v>705.82</v>
      </c>
      <c r="D43" s="79">
        <f>SUMIFS('Lançamentos'!$H$5:$H$538,'Lançamentos'!$D$5:$D$538,'Análise'!$B43,'Lançamentos'!$C$5:$C$538,'Análise'!D$13)</f>
        <v>0</v>
      </c>
      <c r="E43" s="79">
        <f>SUMIFS('Lançamentos'!$H$5:$H$538,'Lançamentos'!$D$5:$D$538,'Análise'!$B43,'Lançamentos'!$C$5:$C$538,'Análise'!E$13)</f>
        <v>0</v>
      </c>
      <c r="F43" s="79">
        <f>SUMIFS('Lançamentos'!$H$5:$H$538,'Lançamentos'!$D$5:$D$538,'Análise'!$B43,'Lançamentos'!$C$5:$C$538,'Análise'!F$13)</f>
        <v>0</v>
      </c>
      <c r="G43" s="79">
        <f>SUMIFS('Lançamentos'!$H$5:$H$538,'Lançamentos'!$D$5:$D$538,'Análise'!$B43,'Lançamentos'!$C$5:$C$538,'Análise'!G$13)</f>
        <v>0</v>
      </c>
      <c r="H43" s="79">
        <f>SUMIFS('Lançamentos'!$H$5:$H$538,'Lançamentos'!$D$5:$D$538,'Análise'!$B43,'Lançamentos'!$C$5:$C$538,'Análise'!H$13)</f>
        <v>0</v>
      </c>
      <c r="I43" s="79">
        <f>SUMIFS('Lançamentos'!$H$5:$H$538,'Lançamentos'!$D$5:$D$538,'Análise'!$B43,'Lançamentos'!$C$5:$C$538,'Análise'!I$13)</f>
        <v>0</v>
      </c>
      <c r="J43" s="79">
        <f>SUMIFS('Lançamentos'!$H$5:$H$538,'Lançamentos'!$D$5:$D$538,'Análise'!$B43,'Lançamentos'!$C$5:$C$538,'Análise'!J$13)</f>
        <v>0</v>
      </c>
      <c r="K43" s="79">
        <f>SUMIFS('Lançamentos'!$H$5:$H$538,'Lançamentos'!$D$5:$D$538,'Análise'!$B43,'Lançamentos'!$C$5:$C$538,'Análise'!K$13)</f>
        <v>0</v>
      </c>
      <c r="L43" s="79">
        <f>SUMIFS('Lançamentos'!$H$5:$H$538,'Lançamentos'!$D$5:$D$538,'Análise'!$B43,'Lançamentos'!$C$5:$C$538,'Análise'!L$13)</f>
        <v>0</v>
      </c>
      <c r="M43" s="79">
        <f>SUMIFS('Lançamentos'!$H$5:$H$538,'Lançamentos'!$D$5:$D$538,'Análise'!$B43,'Lançamentos'!$C$5:$C$538,'Análise'!M$13)</f>
        <v>0</v>
      </c>
      <c r="N43" s="79">
        <f>SUMIFS('Lançamentos'!$H$5:$H$538,'Lançamentos'!$D$5:$D$538,'Análise'!$B43,'Lançamentos'!$C$5:$C$538,'Análise'!N$13)</f>
        <v>0</v>
      </c>
      <c r="O43" s="79">
        <f>SUMIFS('Lançamentos'!$H$5:$H$538,'Lançamentos'!$D$5:$D$538,'Análise'!$B43,'Lançamentos'!$C$5:$C$538,'Análise'!O$13)</f>
        <v>0</v>
      </c>
      <c r="P43" s="79">
        <f>SUMIFS('Lançamentos'!$H$5:$H$538,'Lançamentos'!$D$5:$D$538,'Análise'!$B43,'Lançamentos'!$C$5:$C$538,'Análise'!P$13)</f>
        <v>0</v>
      </c>
      <c r="Q43" s="78"/>
      <c r="R43" s="78"/>
      <c r="S43" s="78"/>
      <c r="T43" s="78"/>
      <c r="U43" s="78"/>
    </row>
    <row r="44" ht="15.75" customHeight="1">
      <c r="B44" s="78" t="str">
        <f>Planilha1!B28</f>
        <v>Fotos/Estúdio</v>
      </c>
      <c r="C44" s="79">
        <f>SUMIFS('Lançamentos'!$H$5:$H$538,'Lançamentos'!$D$5:$D$538,'Análise'!$B44,'Lançamentos'!$C$5:$C$538,'Análise'!C$13)</f>
        <v>0</v>
      </c>
      <c r="D44" s="79">
        <f>SUMIFS('Lançamentos'!$H$5:$H$538,'Lançamentos'!$D$5:$D$538,'Análise'!$B44,'Lançamentos'!$C$5:$C$538,'Análise'!D$13)</f>
        <v>0</v>
      </c>
      <c r="E44" s="79">
        <f>SUMIFS('Lançamentos'!$H$5:$H$538,'Lançamentos'!$D$5:$D$538,'Análise'!$B44,'Lançamentos'!$C$5:$C$538,'Análise'!E$13)</f>
        <v>0</v>
      </c>
      <c r="F44" s="79">
        <f>SUMIFS('Lançamentos'!$H$5:$H$538,'Lançamentos'!$D$5:$D$538,'Análise'!$B44,'Lançamentos'!$C$5:$C$538,'Análise'!F$13)</f>
        <v>0</v>
      </c>
      <c r="G44" s="79">
        <f>SUMIFS('Lançamentos'!$H$5:$H$538,'Lançamentos'!$D$5:$D$538,'Análise'!$B44,'Lançamentos'!$C$5:$C$538,'Análise'!G$13)</f>
        <v>0</v>
      </c>
      <c r="H44" s="79">
        <f>SUMIFS('Lançamentos'!$H$5:$H$538,'Lançamentos'!$D$5:$D$538,'Análise'!$B44,'Lançamentos'!$C$5:$C$538,'Análise'!H$13)</f>
        <v>0</v>
      </c>
      <c r="I44" s="79">
        <f>SUMIFS('Lançamentos'!$H$5:$H$538,'Lançamentos'!$D$5:$D$538,'Análise'!$B44,'Lançamentos'!$C$5:$C$538,'Análise'!I$13)</f>
        <v>0</v>
      </c>
      <c r="J44" s="79">
        <f>SUMIFS('Lançamentos'!$H$5:$H$538,'Lançamentos'!$D$5:$D$538,'Análise'!$B44,'Lançamentos'!$C$5:$C$538,'Análise'!J$13)</f>
        <v>0</v>
      </c>
      <c r="K44" s="79">
        <f>SUMIFS('Lançamentos'!$H$5:$H$538,'Lançamentos'!$D$5:$D$538,'Análise'!$B44,'Lançamentos'!$C$5:$C$538,'Análise'!K$13)</f>
        <v>0</v>
      </c>
      <c r="L44" s="79">
        <f>SUMIFS('Lançamentos'!$H$5:$H$538,'Lançamentos'!$D$5:$D$538,'Análise'!$B44,'Lançamentos'!$C$5:$C$538,'Análise'!L$13)</f>
        <v>0</v>
      </c>
      <c r="M44" s="79">
        <f>SUMIFS('Lançamentos'!$H$5:$H$538,'Lançamentos'!$D$5:$D$538,'Análise'!$B44,'Lançamentos'!$C$5:$C$538,'Análise'!M$13)</f>
        <v>0</v>
      </c>
      <c r="N44" s="79">
        <f>SUMIFS('Lançamentos'!$H$5:$H$538,'Lançamentos'!$D$5:$D$538,'Análise'!$B44,'Lançamentos'!$C$5:$C$538,'Análise'!N$13)</f>
        <v>0</v>
      </c>
      <c r="O44" s="79">
        <f>SUMIFS('Lançamentos'!$H$5:$H$538,'Lançamentos'!$D$5:$D$538,'Análise'!$B44,'Lançamentos'!$C$5:$C$538,'Análise'!O$13)</f>
        <v>0</v>
      </c>
      <c r="P44" s="79">
        <f>SUMIFS('Lançamentos'!$H$5:$H$538,'Lançamentos'!$D$5:$D$538,'Análise'!$B44,'Lançamentos'!$C$5:$C$538,'Análise'!P$13)</f>
        <v>0</v>
      </c>
      <c r="Q44" s="78"/>
      <c r="R44" s="78"/>
      <c r="S44" s="78"/>
      <c r="T44" s="78"/>
      <c r="U44" s="78"/>
    </row>
    <row r="45" ht="15.75" customHeight="1">
      <c r="B45" s="78" t="str">
        <f>Planilha1!B29</f>
        <v>Hospedagem</v>
      </c>
      <c r="C45" s="79">
        <f>SUMIFS('Lançamentos'!$H$5:$H$538,'Lançamentos'!$D$5:$D$538,'Análise'!$B45,'Lançamentos'!$C$5:$C$538,'Análise'!C$13)</f>
        <v>0</v>
      </c>
      <c r="D45" s="79">
        <f>SUMIFS('Lançamentos'!$H$5:$H$538,'Lançamentos'!$D$5:$D$538,'Análise'!$B45,'Lançamentos'!$C$5:$C$538,'Análise'!D$13)</f>
        <v>0</v>
      </c>
      <c r="E45" s="79">
        <f>SUMIFS('Lançamentos'!$H$5:$H$538,'Lançamentos'!$D$5:$D$538,'Análise'!$B45,'Lançamentos'!$C$5:$C$538,'Análise'!E$13)</f>
        <v>1128</v>
      </c>
      <c r="F45" s="79">
        <f>SUMIFS('Lançamentos'!$H$5:$H$538,'Lançamentos'!$D$5:$D$538,'Análise'!$B45,'Lançamentos'!$C$5:$C$538,'Análise'!F$13)</f>
        <v>0</v>
      </c>
      <c r="G45" s="79">
        <f>SUMIFS('Lançamentos'!$H$5:$H$538,'Lançamentos'!$D$5:$D$538,'Análise'!$B45,'Lançamentos'!$C$5:$C$538,'Análise'!G$13)</f>
        <v>0</v>
      </c>
      <c r="H45" s="79">
        <f>SUMIFS('Lançamentos'!$H$5:$H$538,'Lançamentos'!$D$5:$D$538,'Análise'!$B45,'Lançamentos'!$C$5:$C$538,'Análise'!H$13)</f>
        <v>0</v>
      </c>
      <c r="I45" s="79">
        <f>SUMIFS('Lançamentos'!$H$5:$H$538,'Lançamentos'!$D$5:$D$538,'Análise'!$B45,'Lançamentos'!$C$5:$C$538,'Análise'!I$13)</f>
        <v>1062.05</v>
      </c>
      <c r="J45" s="79">
        <f>SUMIFS('Lançamentos'!$H$5:$H$538,'Lançamentos'!$D$5:$D$538,'Análise'!$B45,'Lançamentos'!$C$5:$C$538,'Análise'!J$13)</f>
        <v>199.59</v>
      </c>
      <c r="K45" s="79">
        <f>SUMIFS('Lançamentos'!$H$5:$H$538,'Lançamentos'!$D$5:$D$538,'Análise'!$B45,'Lançamentos'!$C$5:$C$538,'Análise'!K$13)</f>
        <v>0</v>
      </c>
      <c r="L45" s="79">
        <f>SUMIFS('Lançamentos'!$H$5:$H$538,'Lançamentos'!$D$5:$D$538,'Análise'!$B45,'Lançamentos'!$C$5:$C$538,'Análise'!L$13)</f>
        <v>0</v>
      </c>
      <c r="M45" s="79">
        <f>SUMIFS('Lançamentos'!$H$5:$H$538,'Lançamentos'!$D$5:$D$538,'Análise'!$B45,'Lançamentos'!$C$5:$C$538,'Análise'!M$13)</f>
        <v>0</v>
      </c>
      <c r="N45" s="79">
        <f>SUMIFS('Lançamentos'!$H$5:$H$538,'Lançamentos'!$D$5:$D$538,'Análise'!$B45,'Lançamentos'!$C$5:$C$538,'Análise'!N$13)</f>
        <v>0</v>
      </c>
      <c r="O45" s="79">
        <f>SUMIFS('Lançamentos'!$H$5:$H$538,'Lançamentos'!$D$5:$D$538,'Análise'!$B45,'Lançamentos'!$C$5:$C$538,'Análise'!O$13)</f>
        <v>0</v>
      </c>
      <c r="P45" s="79">
        <f>SUMIFS('Lançamentos'!$H$5:$H$538,'Lançamentos'!$D$5:$D$538,'Análise'!$B45,'Lançamentos'!$C$5:$C$538,'Análise'!P$13)</f>
        <v>0</v>
      </c>
      <c r="Q45" s="78"/>
      <c r="R45" s="78"/>
      <c r="S45" s="78"/>
      <c r="T45" s="78"/>
      <c r="U45" s="78"/>
    </row>
    <row r="46" ht="15.75" customHeight="1">
      <c r="B46" s="78" t="str">
        <f>Planilha1!B30</f>
        <v>Avião/ônibus etapas</v>
      </c>
      <c r="C46" s="79">
        <f>SUMIFS('Lançamentos'!$H$5:$H$538,'Lançamentos'!$D$5:$D$538,'Análise'!$B46,'Lançamentos'!$C$5:$C$538,'Análise'!C$13)</f>
        <v>0</v>
      </c>
      <c r="D46" s="79">
        <f>SUMIFS('Lançamentos'!$H$5:$H$538,'Lançamentos'!$D$5:$D$538,'Análise'!$B46,'Lançamentos'!$C$5:$C$538,'Análise'!D$13)</f>
        <v>0</v>
      </c>
      <c r="E46" s="79">
        <f>SUMIFS('Lançamentos'!$H$5:$H$538,'Lançamentos'!$D$5:$D$538,'Análise'!$B46,'Lançamentos'!$C$5:$C$538,'Análise'!E$13)</f>
        <v>1598</v>
      </c>
      <c r="F46" s="79">
        <f>SUMIFS('Lançamentos'!$H$5:$H$538,'Lançamentos'!$D$5:$D$538,'Análise'!$B46,'Lançamentos'!$C$5:$C$538,'Análise'!F$13)</f>
        <v>0</v>
      </c>
      <c r="G46" s="79">
        <f>SUMIFS('Lançamentos'!$H$5:$H$538,'Lançamentos'!$D$5:$D$538,'Análise'!$B46,'Lançamentos'!$C$5:$C$538,'Análise'!G$13)</f>
        <v>0</v>
      </c>
      <c r="H46" s="79">
        <f>SUMIFS('Lançamentos'!$H$5:$H$538,'Lançamentos'!$D$5:$D$538,'Análise'!$B46,'Lançamentos'!$C$5:$C$538,'Análise'!H$13)</f>
        <v>1674.01</v>
      </c>
      <c r="I46" s="79">
        <f>SUMIFS('Lançamentos'!$H$5:$H$538,'Lançamentos'!$D$5:$D$538,'Análise'!$B46,'Lançamentos'!$C$5:$C$538,'Análise'!I$13)</f>
        <v>1154</v>
      </c>
      <c r="J46" s="79">
        <f>SUMIFS('Lançamentos'!$H$5:$H$538,'Lançamentos'!$D$5:$D$538,'Análise'!$B46,'Lançamentos'!$C$5:$C$538,'Análise'!J$13)</f>
        <v>360.69</v>
      </c>
      <c r="K46" s="79">
        <f>SUMIFS('Lançamentos'!$H$5:$H$538,'Lançamentos'!$D$5:$D$538,'Análise'!$B46,'Lançamentos'!$C$5:$C$538,'Análise'!K$13)</f>
        <v>0</v>
      </c>
      <c r="L46" s="79">
        <f>SUMIFS('Lançamentos'!$H$5:$H$538,'Lançamentos'!$D$5:$D$538,'Análise'!$B46,'Lançamentos'!$C$5:$C$538,'Análise'!L$13)</f>
        <v>0</v>
      </c>
      <c r="M46" s="79">
        <f>SUMIFS('Lançamentos'!$H$5:$H$538,'Lançamentos'!$D$5:$D$538,'Análise'!$B46,'Lançamentos'!$C$5:$C$538,'Análise'!M$13)</f>
        <v>0</v>
      </c>
      <c r="N46" s="79">
        <f>SUMIFS('Lançamentos'!$H$5:$H$538,'Lançamentos'!$D$5:$D$538,'Análise'!$B46,'Lançamentos'!$C$5:$C$538,'Análise'!N$13)</f>
        <v>0</v>
      </c>
      <c r="O46" s="79">
        <f>SUMIFS('Lançamentos'!$H$5:$H$538,'Lançamentos'!$D$5:$D$538,'Análise'!$B46,'Lançamentos'!$C$5:$C$538,'Análise'!O$13)</f>
        <v>0</v>
      </c>
      <c r="P46" s="79">
        <f>SUMIFS('Lançamentos'!$H$5:$H$538,'Lançamentos'!$D$5:$D$538,'Análise'!$B46,'Lançamentos'!$C$5:$C$538,'Análise'!P$13)</f>
        <v>0</v>
      </c>
      <c r="Q46" s="78"/>
      <c r="R46" s="78"/>
      <c r="S46" s="78"/>
      <c r="T46" s="78"/>
      <c r="U46" s="78"/>
    </row>
    <row r="47" ht="15.75" customHeight="1">
      <c r="B47" s="78" t="str">
        <f>Planilha1!B31</f>
        <v>Alimentação</v>
      </c>
      <c r="C47" s="79">
        <f>SUMIFS('Lançamentos'!$H$5:$H$538,'Lançamentos'!$D$5:$D$538,'Análise'!$B47,'Lançamentos'!$C$5:$C$538,'Análise'!C$13)</f>
        <v>0</v>
      </c>
      <c r="D47" s="79">
        <f>SUMIFS('Lançamentos'!$H$5:$H$538,'Lançamentos'!$D$5:$D$538,'Análise'!$B47,'Lançamentos'!$C$5:$C$538,'Análise'!D$13)</f>
        <v>0</v>
      </c>
      <c r="E47" s="79">
        <f>SUMIFS('Lançamentos'!$H$5:$H$538,'Lançamentos'!$D$5:$D$538,'Análise'!$B47,'Lançamentos'!$C$5:$C$538,'Análise'!E$13)</f>
        <v>0</v>
      </c>
      <c r="F47" s="79">
        <f>SUMIFS('Lançamentos'!$H$5:$H$538,'Lançamentos'!$D$5:$D$538,'Análise'!$B47,'Lançamentos'!$C$5:$C$538,'Análise'!F$13)</f>
        <v>0</v>
      </c>
      <c r="G47" s="79">
        <f>SUMIFS('Lançamentos'!$H$5:$H$538,'Lançamentos'!$D$5:$D$538,'Análise'!$B47,'Lançamentos'!$C$5:$C$538,'Análise'!G$13)</f>
        <v>0</v>
      </c>
      <c r="H47" s="79">
        <f>SUMIFS('Lançamentos'!$H$5:$H$538,'Lançamentos'!$D$5:$D$538,'Análise'!$B47,'Lançamentos'!$C$5:$C$538,'Análise'!H$13)</f>
        <v>160</v>
      </c>
      <c r="I47" s="79">
        <f>SUMIFS('Lançamentos'!$H$5:$H$538,'Lançamentos'!$D$5:$D$538,'Análise'!$B47,'Lançamentos'!$C$5:$C$538,'Análise'!I$13)</f>
        <v>927.91</v>
      </c>
      <c r="J47" s="79">
        <f>SUMIFS('Lançamentos'!$H$5:$H$538,'Lançamentos'!$D$5:$D$538,'Análise'!$B47,'Lançamentos'!$C$5:$C$538,'Análise'!J$13)</f>
        <v>599.9</v>
      </c>
      <c r="K47" s="79">
        <f>SUMIFS('Lançamentos'!$H$5:$H$538,'Lançamentos'!$D$5:$D$538,'Análise'!$B47,'Lançamentos'!$C$5:$C$538,'Análise'!K$13)</f>
        <v>1022.5</v>
      </c>
      <c r="L47" s="79">
        <f>SUMIFS('Lançamentos'!$H$5:$H$538,'Lançamentos'!$D$5:$D$538,'Análise'!$B47,'Lançamentos'!$C$5:$C$538,'Análise'!L$13)</f>
        <v>0</v>
      </c>
      <c r="M47" s="79">
        <f>SUMIFS('Lançamentos'!$H$5:$H$538,'Lançamentos'!$D$5:$D$538,'Análise'!$B47,'Lançamentos'!$C$5:$C$538,'Análise'!M$13)</f>
        <v>0</v>
      </c>
      <c r="N47" s="79">
        <f>SUMIFS('Lançamentos'!$H$5:$H$538,'Lançamentos'!$D$5:$D$538,'Análise'!$B47,'Lançamentos'!$C$5:$C$538,'Análise'!N$13)</f>
        <v>0</v>
      </c>
      <c r="O47" s="79">
        <f>SUMIFS('Lançamentos'!$H$5:$H$538,'Lançamentos'!$D$5:$D$538,'Análise'!$B47,'Lançamentos'!$C$5:$C$538,'Análise'!O$13)</f>
        <v>0</v>
      </c>
      <c r="P47" s="79">
        <f>SUMIFS('Lançamentos'!$H$5:$H$538,'Lançamentos'!$D$5:$D$538,'Análise'!$B47,'Lançamentos'!$C$5:$C$538,'Análise'!P$13)</f>
        <v>0</v>
      </c>
      <c r="Q47" s="78"/>
      <c r="R47" s="78"/>
      <c r="S47" s="78"/>
      <c r="T47" s="78"/>
      <c r="U47" s="78"/>
    </row>
    <row r="48" ht="15.75" customHeight="1">
      <c r="B48" s="78" t="str">
        <f>Planilha1!B32</f>
        <v>Equipamentos</v>
      </c>
      <c r="C48" s="79">
        <f>SUMIFS('Lançamentos'!$H$5:$H$538,'Lançamentos'!$D$5:$D$538,'Análise'!$B48,'Lançamentos'!$C$5:$C$538,'Análise'!C$13)</f>
        <v>0</v>
      </c>
      <c r="D48" s="79">
        <f>SUMIFS('Lançamentos'!$H$5:$H$538,'Lançamentos'!$D$5:$D$538,'Análise'!$B48,'Lançamentos'!$C$5:$C$538,'Análise'!D$13)</f>
        <v>0</v>
      </c>
      <c r="E48" s="79">
        <f>SUMIFS('Lançamentos'!$H$5:$H$538,'Lançamentos'!$D$5:$D$538,'Análise'!$B48,'Lançamentos'!$C$5:$C$538,'Análise'!E$13)</f>
        <v>0</v>
      </c>
      <c r="F48" s="79">
        <f>SUMIFS('Lançamentos'!$H$5:$H$538,'Lançamentos'!$D$5:$D$538,'Análise'!$B48,'Lançamentos'!$C$5:$C$538,'Análise'!F$13)</f>
        <v>0</v>
      </c>
      <c r="G48" s="79">
        <f>SUMIFS('Lançamentos'!$H$5:$H$538,'Lançamentos'!$D$5:$D$538,'Análise'!$B48,'Lançamentos'!$C$5:$C$538,'Análise'!G$13)</f>
        <v>0</v>
      </c>
      <c r="H48" s="79">
        <f>SUMIFS('Lançamentos'!$H$5:$H$538,'Lançamentos'!$D$5:$D$538,'Análise'!$B48,'Lançamentos'!$C$5:$C$538,'Análise'!H$13)</f>
        <v>0</v>
      </c>
      <c r="I48" s="79">
        <f>SUMIFS('Lançamentos'!$H$5:$H$538,'Lançamentos'!$D$5:$D$538,'Análise'!$B48,'Lançamentos'!$C$5:$C$538,'Análise'!I$13)</f>
        <v>0</v>
      </c>
      <c r="J48" s="79">
        <f>SUMIFS('Lançamentos'!$H$5:$H$538,'Lançamentos'!$D$5:$D$538,'Análise'!$B48,'Lançamentos'!$C$5:$C$538,'Análise'!J$13)</f>
        <v>0</v>
      </c>
      <c r="K48" s="79">
        <f>SUMIFS('Lançamentos'!$H$5:$H$538,'Lançamentos'!$D$5:$D$538,'Análise'!$B48,'Lançamentos'!$C$5:$C$538,'Análise'!K$13)</f>
        <v>206.4</v>
      </c>
      <c r="L48" s="79">
        <f>SUMIFS('Lançamentos'!$H$5:$H$538,'Lançamentos'!$D$5:$D$538,'Análise'!$B48,'Lançamentos'!$C$5:$C$538,'Análise'!L$13)</f>
        <v>0</v>
      </c>
      <c r="M48" s="79">
        <f>SUMIFS('Lançamentos'!$H$5:$H$538,'Lançamentos'!$D$5:$D$538,'Análise'!$B48,'Lançamentos'!$C$5:$C$538,'Análise'!M$13)</f>
        <v>0</v>
      </c>
      <c r="N48" s="79">
        <f>SUMIFS('Lançamentos'!$H$5:$H$538,'Lançamentos'!$D$5:$D$538,'Análise'!$B48,'Lançamentos'!$C$5:$C$538,'Análise'!N$13)</f>
        <v>0</v>
      </c>
      <c r="O48" s="79">
        <f>SUMIFS('Lançamentos'!$H$5:$H$538,'Lançamentos'!$D$5:$D$538,'Análise'!$B48,'Lançamentos'!$C$5:$C$538,'Análise'!O$13)</f>
        <v>0</v>
      </c>
      <c r="P48" s="79">
        <f>SUMIFS('Lançamentos'!$H$5:$H$538,'Lançamentos'!$D$5:$D$538,'Análise'!$B48,'Lançamentos'!$C$5:$C$538,'Análise'!P$13)</f>
        <v>0</v>
      </c>
      <c r="Q48" s="78"/>
      <c r="R48" s="78"/>
      <c r="S48" s="78"/>
      <c r="T48" s="78"/>
      <c r="U48" s="78"/>
    </row>
    <row r="49" ht="15.75" customHeight="1">
      <c r="B49" s="78" t="str">
        <f>Planilha1!B33</f>
        <v>Advogado</v>
      </c>
      <c r="C49" s="79">
        <f>SUMIFS('Lançamentos'!$H$5:$H$538,'Lançamentos'!$D$5:$D$538,'Análise'!$B49,'Lançamentos'!$C$5:$C$538,'Análise'!C$13)</f>
        <v>0</v>
      </c>
      <c r="D49" s="79">
        <f>SUMIFS('Lançamentos'!$H$5:$H$538,'Lançamentos'!$D$5:$D$538,'Análise'!$B49,'Lançamentos'!$C$5:$C$538,'Análise'!D$13)</f>
        <v>0</v>
      </c>
      <c r="E49" s="79">
        <f>SUMIFS('Lançamentos'!$H$5:$H$538,'Lançamentos'!$D$5:$D$538,'Análise'!$B49,'Lançamentos'!$C$5:$C$538,'Análise'!E$13)</f>
        <v>0</v>
      </c>
      <c r="F49" s="79">
        <f>SUMIFS('Lançamentos'!$H$5:$H$538,'Lançamentos'!$D$5:$D$538,'Análise'!$B49,'Lançamentos'!$C$5:$C$538,'Análise'!F$13)</f>
        <v>0</v>
      </c>
      <c r="G49" s="79">
        <f>SUMIFS('Lançamentos'!$H$5:$H$538,'Lançamentos'!$D$5:$D$538,'Análise'!$B49,'Lançamentos'!$C$5:$C$538,'Análise'!G$13)</f>
        <v>0</v>
      </c>
      <c r="H49" s="79">
        <f>SUMIFS('Lançamentos'!$H$5:$H$538,'Lançamentos'!$D$5:$D$538,'Análise'!$B49,'Lançamentos'!$C$5:$C$538,'Análise'!H$13)</f>
        <v>0</v>
      </c>
      <c r="I49" s="79">
        <f>SUMIFS('Lançamentos'!$H$5:$H$538,'Lançamentos'!$D$5:$D$538,'Análise'!$B49,'Lançamentos'!$C$5:$C$538,'Análise'!I$13)</f>
        <v>0</v>
      </c>
      <c r="J49" s="79">
        <f>SUMIFS('Lançamentos'!$H$5:$H$538,'Lançamentos'!$D$5:$D$538,'Análise'!$B49,'Lançamentos'!$C$5:$C$538,'Análise'!J$13)</f>
        <v>0</v>
      </c>
      <c r="K49" s="79">
        <f>SUMIFS('Lançamentos'!$H$5:$H$538,'Lançamentos'!$D$5:$D$538,'Análise'!$B49,'Lançamentos'!$C$5:$C$538,'Análise'!K$13)</f>
        <v>0</v>
      </c>
      <c r="L49" s="79">
        <f>SUMIFS('Lançamentos'!$H$5:$H$538,'Lançamentos'!$D$5:$D$538,'Análise'!$B49,'Lançamentos'!$C$5:$C$538,'Análise'!L$13)</f>
        <v>0</v>
      </c>
      <c r="M49" s="79">
        <f>SUMIFS('Lançamentos'!$H$5:$H$538,'Lançamentos'!$D$5:$D$538,'Análise'!$B49,'Lançamentos'!$C$5:$C$538,'Análise'!M$13)</f>
        <v>0</v>
      </c>
      <c r="N49" s="79">
        <f>SUMIFS('Lançamentos'!$H$5:$H$538,'Lançamentos'!$D$5:$D$538,'Análise'!$B49,'Lançamentos'!$C$5:$C$538,'Análise'!N$13)</f>
        <v>0</v>
      </c>
      <c r="O49" s="79">
        <f>SUMIFS('Lançamentos'!$H$5:$H$538,'Lançamentos'!$D$5:$D$538,'Análise'!$B49,'Lançamentos'!$C$5:$C$538,'Análise'!O$13)</f>
        <v>0</v>
      </c>
      <c r="P49" s="79">
        <f>SUMIFS('Lançamentos'!$H$5:$H$538,'Lançamentos'!$D$5:$D$538,'Análise'!$B49,'Lançamentos'!$C$5:$C$538,'Análise'!P$13)</f>
        <v>0</v>
      </c>
      <c r="Q49" s="78"/>
      <c r="R49" s="78"/>
      <c r="S49" s="78"/>
      <c r="T49" s="78"/>
      <c r="U49" s="78"/>
    </row>
    <row r="50" ht="15.75" customHeight="1">
      <c r="B50" s="78" t="str">
        <f>Planilha1!B34</f>
        <v>DAS Marina</v>
      </c>
      <c r="C50" s="79">
        <f>SUMIFS('Lançamentos'!$H$5:$H$538,'Lançamentos'!$D$5:$D$538,'Análise'!$B50,'Lançamentos'!$C$5:$C$538,'Análise'!C$13)</f>
        <v>0</v>
      </c>
      <c r="D50" s="79">
        <f>SUMIFS('Lançamentos'!$H$5:$H$538,'Lançamentos'!$D$5:$D$538,'Análise'!$B50,'Lançamentos'!$C$5:$C$538,'Análise'!D$13)</f>
        <v>0</v>
      </c>
      <c r="E50" s="79">
        <f>SUMIFS('Lançamentos'!$H$5:$H$538,'Lançamentos'!$D$5:$D$538,'Análise'!$B50,'Lançamentos'!$C$5:$C$538,'Análise'!E$13)</f>
        <v>0</v>
      </c>
      <c r="F50" s="79">
        <f>SUMIFS('Lançamentos'!$H$5:$H$538,'Lançamentos'!$D$5:$D$538,'Análise'!$B50,'Lançamentos'!$C$5:$C$538,'Análise'!F$13)</f>
        <v>0</v>
      </c>
      <c r="G50" s="79">
        <f>SUMIFS('Lançamentos'!$H$5:$H$538,'Lançamentos'!$D$5:$D$538,'Análise'!$B50,'Lançamentos'!$C$5:$C$538,'Análise'!G$13)</f>
        <v>0</v>
      </c>
      <c r="H50" s="79">
        <f>SUMIFS('Lançamentos'!$H$5:$H$538,'Lançamentos'!$D$5:$D$538,'Análise'!$B50,'Lançamentos'!$C$5:$C$538,'Análise'!H$13)</f>
        <v>87</v>
      </c>
      <c r="I50" s="79">
        <f>SUMIFS('Lançamentos'!$H$5:$H$538,'Lançamentos'!$D$5:$D$538,'Análise'!$B50,'Lançamentos'!$C$5:$C$538,'Análise'!I$13)</f>
        <v>87</v>
      </c>
      <c r="J50" s="79">
        <f>SUMIFS('Lançamentos'!$H$5:$H$538,'Lançamentos'!$D$5:$D$538,'Análise'!$B50,'Lançamentos'!$C$5:$C$538,'Análise'!J$13)</f>
        <v>0</v>
      </c>
      <c r="K50" s="79">
        <f>SUMIFS('Lançamentos'!$H$5:$H$538,'Lançamentos'!$D$5:$D$538,'Análise'!$B50,'Lançamentos'!$C$5:$C$538,'Análise'!K$13)</f>
        <v>199</v>
      </c>
      <c r="L50" s="79">
        <f>SUMIFS('Lançamentos'!$H$5:$H$538,'Lançamentos'!$D$5:$D$538,'Análise'!$B50,'Lançamentos'!$C$5:$C$538,'Análise'!L$13)</f>
        <v>0</v>
      </c>
      <c r="M50" s="79">
        <f>SUMIFS('Lançamentos'!$H$5:$H$538,'Lançamentos'!$D$5:$D$538,'Análise'!$B50,'Lançamentos'!$C$5:$C$538,'Análise'!M$13)</f>
        <v>0</v>
      </c>
      <c r="N50" s="79">
        <f>SUMIFS('Lançamentos'!$H$5:$H$538,'Lançamentos'!$D$5:$D$538,'Análise'!$B50,'Lançamentos'!$C$5:$C$538,'Análise'!N$13)</f>
        <v>0</v>
      </c>
      <c r="O50" s="79">
        <f>SUMIFS('Lançamentos'!$H$5:$H$538,'Lançamentos'!$D$5:$D$538,'Análise'!$B50,'Lançamentos'!$C$5:$C$538,'Análise'!O$13)</f>
        <v>0</v>
      </c>
      <c r="P50" s="79">
        <f>SUMIFS('Lançamentos'!$H$5:$H$538,'Lançamentos'!$D$5:$D$538,'Análise'!$B50,'Lançamentos'!$C$5:$C$538,'Análise'!P$13)</f>
        <v>0</v>
      </c>
      <c r="Q50" s="78"/>
      <c r="R50" s="78"/>
      <c r="S50" s="78"/>
      <c r="T50" s="78"/>
      <c r="U50" s="78"/>
    </row>
    <row r="51" ht="15.75" customHeight="1">
      <c r="B51" s="78" t="str">
        <f>Planilha1!B35</f>
        <v>DAS Victoria</v>
      </c>
      <c r="C51" s="79">
        <f>SUMIFS('Lançamentos'!$H$5:$H$538,'Lançamentos'!$D$5:$D$538,'Análise'!$B51,'Lançamentos'!$C$5:$C$538,'Análise'!C$13)</f>
        <v>0</v>
      </c>
      <c r="D51" s="79">
        <f>SUMIFS('Lançamentos'!$H$5:$H$538,'Lançamentos'!$D$5:$D$538,'Análise'!$B51,'Lançamentos'!$C$5:$C$538,'Análise'!D$13)</f>
        <v>0</v>
      </c>
      <c r="E51" s="79">
        <f>SUMIFS('Lançamentos'!$H$5:$H$538,'Lançamentos'!$D$5:$D$538,'Análise'!$B51,'Lançamentos'!$C$5:$C$538,'Análise'!E$13)</f>
        <v>0</v>
      </c>
      <c r="F51" s="79">
        <f>SUMIFS('Lançamentos'!$H$5:$H$538,'Lançamentos'!$D$5:$D$538,'Análise'!$B51,'Lançamentos'!$C$5:$C$538,'Análise'!F$13)</f>
        <v>0</v>
      </c>
      <c r="G51" s="79">
        <f>SUMIFS('Lançamentos'!$H$5:$H$538,'Lançamentos'!$D$5:$D$538,'Análise'!$B51,'Lançamentos'!$C$5:$C$538,'Análise'!G$13)</f>
        <v>0</v>
      </c>
      <c r="H51" s="79">
        <f>SUMIFS('Lançamentos'!$H$5:$H$538,'Lançamentos'!$D$5:$D$538,'Análise'!$B51,'Lançamentos'!$C$5:$C$538,'Análise'!H$13)</f>
        <v>0</v>
      </c>
      <c r="I51" s="79">
        <f>SUMIFS('Lançamentos'!$H$5:$H$538,'Lançamentos'!$D$5:$D$538,'Análise'!$B51,'Lançamentos'!$C$5:$C$538,'Análise'!I$13)</f>
        <v>86.05</v>
      </c>
      <c r="J51" s="79">
        <f>SUMIFS('Lançamentos'!$H$5:$H$538,'Lançamentos'!$D$5:$D$538,'Análise'!$B51,'Lançamentos'!$C$5:$C$538,'Análise'!J$13)</f>
        <v>86.05</v>
      </c>
      <c r="K51" s="79">
        <f>SUMIFS('Lançamentos'!$H$5:$H$538,'Lançamentos'!$D$5:$D$538,'Análise'!$B51,'Lançamentos'!$C$5:$C$538,'Análise'!K$13)</f>
        <v>0</v>
      </c>
      <c r="L51" s="79">
        <f>SUMIFS('Lançamentos'!$H$5:$H$538,'Lançamentos'!$D$5:$D$538,'Análise'!$B51,'Lançamentos'!$C$5:$C$538,'Análise'!L$13)</f>
        <v>0</v>
      </c>
      <c r="M51" s="79">
        <f>SUMIFS('Lançamentos'!$H$5:$H$538,'Lançamentos'!$D$5:$D$538,'Análise'!$B51,'Lançamentos'!$C$5:$C$538,'Análise'!M$13)</f>
        <v>0</v>
      </c>
      <c r="N51" s="79">
        <f>SUMIFS('Lançamentos'!$H$5:$H$538,'Lançamentos'!$D$5:$D$538,'Análise'!$B51,'Lançamentos'!$C$5:$C$538,'Análise'!N$13)</f>
        <v>0</v>
      </c>
      <c r="O51" s="79">
        <f>SUMIFS('Lançamentos'!$H$5:$H$538,'Lançamentos'!$D$5:$D$538,'Análise'!$B51,'Lançamentos'!$C$5:$C$538,'Análise'!O$13)</f>
        <v>0</v>
      </c>
      <c r="P51" s="79">
        <f>SUMIFS('Lançamentos'!$H$5:$H$538,'Lançamentos'!$D$5:$D$538,'Análise'!$B51,'Lançamentos'!$C$5:$C$538,'Análise'!P$13)</f>
        <v>0</v>
      </c>
      <c r="Q51" s="80"/>
      <c r="R51" s="80"/>
      <c r="S51" s="80"/>
      <c r="T51" s="80"/>
      <c r="U51" s="80"/>
    </row>
    <row r="52" ht="15.75" customHeight="1">
      <c r="B52" s="81" t="s">
        <v>218</v>
      </c>
      <c r="C52" s="82">
        <f t="shared" ref="C52:U52" si="8">C16-C34</f>
        <v>1794.18</v>
      </c>
      <c r="D52" s="82">
        <f t="shared" si="8"/>
        <v>3000</v>
      </c>
      <c r="E52" s="82">
        <f t="shared" si="8"/>
        <v>-2726</v>
      </c>
      <c r="F52" s="82">
        <f t="shared" si="8"/>
        <v>0</v>
      </c>
      <c r="G52" s="82">
        <f t="shared" si="8"/>
        <v>7166</v>
      </c>
      <c r="H52" s="82">
        <f t="shared" si="8"/>
        <v>568.81</v>
      </c>
      <c r="I52" s="82">
        <f t="shared" si="8"/>
        <v>7802.99</v>
      </c>
      <c r="J52" s="82">
        <f t="shared" si="8"/>
        <v>3082.52</v>
      </c>
      <c r="K52" s="82">
        <f t="shared" si="8"/>
        <v>-2699.9</v>
      </c>
      <c r="L52" s="82">
        <f t="shared" si="8"/>
        <v>0</v>
      </c>
      <c r="M52" s="82">
        <f t="shared" si="8"/>
        <v>0</v>
      </c>
      <c r="N52" s="82">
        <f t="shared" si="8"/>
        <v>0</v>
      </c>
      <c r="O52" s="82">
        <f t="shared" si="8"/>
        <v>0</v>
      </c>
      <c r="P52" s="82">
        <f t="shared" si="8"/>
        <v>0</v>
      </c>
      <c r="Q52" s="82">
        <f t="shared" si="8"/>
        <v>0</v>
      </c>
      <c r="R52" s="82">
        <f t="shared" si="8"/>
        <v>0</v>
      </c>
      <c r="S52" s="82">
        <f t="shared" si="8"/>
        <v>0</v>
      </c>
      <c r="T52" s="82">
        <f t="shared" si="8"/>
        <v>0</v>
      </c>
      <c r="U52" s="82">
        <f t="shared" si="8"/>
        <v>0</v>
      </c>
    </row>
    <row r="53" ht="15.75" customHeight="1">
      <c r="B53" s="81" t="s">
        <v>219</v>
      </c>
      <c r="C53" s="82">
        <f t="shared" ref="C53:U53" si="9">C15+C52</f>
        <v>1794.18</v>
      </c>
      <c r="D53" s="82">
        <f t="shared" si="9"/>
        <v>3000</v>
      </c>
      <c r="E53" s="82">
        <f t="shared" si="9"/>
        <v>274</v>
      </c>
      <c r="F53" s="82">
        <f t="shared" si="9"/>
        <v>274</v>
      </c>
      <c r="G53" s="82">
        <f t="shared" si="9"/>
        <v>7166</v>
      </c>
      <c r="H53" s="82">
        <f t="shared" si="9"/>
        <v>568.81</v>
      </c>
      <c r="I53" s="82">
        <f t="shared" si="9"/>
        <v>8409.8</v>
      </c>
      <c r="J53" s="82">
        <f t="shared" si="9"/>
        <v>3082.52</v>
      </c>
      <c r="K53" s="82">
        <f t="shared" si="9"/>
        <v>382.62</v>
      </c>
      <c r="L53" s="82">
        <f t="shared" si="9"/>
        <v>382.62</v>
      </c>
      <c r="M53" s="82">
        <f t="shared" si="9"/>
        <v>382.62</v>
      </c>
      <c r="N53" s="82">
        <f t="shared" si="9"/>
        <v>382.62</v>
      </c>
      <c r="O53" s="82">
        <f t="shared" si="9"/>
        <v>382.62</v>
      </c>
      <c r="P53" s="82">
        <f t="shared" si="9"/>
        <v>382.62</v>
      </c>
      <c r="Q53" s="82">
        <f t="shared" si="9"/>
        <v>382.62</v>
      </c>
      <c r="R53" s="82">
        <f t="shared" si="9"/>
        <v>382.62</v>
      </c>
      <c r="S53" s="82">
        <f t="shared" si="9"/>
        <v>382.62</v>
      </c>
      <c r="T53" s="82">
        <f t="shared" si="9"/>
        <v>382.62</v>
      </c>
      <c r="U53" s="82">
        <f t="shared" si="9"/>
        <v>382.62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E7:F7"/>
    <mergeCell ref="G7:H7"/>
    <mergeCell ref="E8:F8"/>
    <mergeCell ref="G8:H8"/>
    <mergeCell ref="B10:D10"/>
  </mergeCells>
  <conditionalFormatting sqref="C15:U15">
    <cfRule type="cellIs" dxfId="9" priority="1" operator="lessThan">
      <formula>0</formula>
    </cfRule>
  </conditionalFormatting>
  <conditionalFormatting sqref="C52:U53">
    <cfRule type="cellIs" dxfId="9" priority="2" operator="lessThan">
      <formula>0</formula>
    </cfRule>
  </conditionalFormatting>
  <conditionalFormatting sqref="C52:U53">
    <cfRule type="cellIs" dxfId="10" priority="3" operator="greaterThan">
      <formula>0</formula>
    </cfRule>
  </conditionalFormatting>
  <dataValidations>
    <dataValidation type="list" allowBlank="1" showErrorMessage="1" sqref="C7">
      <formula1>Planilha1!$F$2:$F$13</formula1>
    </dataValidation>
    <dataValidation type="list" allowBlank="1" showErrorMessage="1" sqref="G7">
      <formula1>Planilha1!$L$3:$L$5</formula1>
    </dataValidation>
    <dataValidation type="list" allowBlank="1" showErrorMessage="1" sqref="C8">
      <formula1>Planilha1!$I$3:$I$9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8.88"/>
  </cols>
  <sheetData>
    <row r="6">
      <c r="C6" s="62" t="str">
        <f>"Status: "&amp;'Análise'!G7</f>
        <v>Status: Todos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>
      <c r="E43" s="63" t="s">
        <v>211</v>
      </c>
    </row>
    <row r="44" ht="15.75" customHeight="1">
      <c r="E44" s="64" t="s">
        <v>102</v>
      </c>
      <c r="F44" s="41"/>
      <c r="G44" s="41"/>
      <c r="H44" s="41"/>
    </row>
    <row r="45" ht="15.75" customHeight="1"/>
    <row r="46" ht="15.75" customHeight="1">
      <c r="E46" s="65" t="s">
        <v>212</v>
      </c>
    </row>
    <row r="47" ht="15.75" customHeight="1">
      <c r="E47" s="66">
        <f>SUMIFS('Lançamentos'!$F$5:$F$538,'Lançamentos'!$D$5:$D$538,'Gráficos'!$E$44)</f>
        <v>11200</v>
      </c>
      <c r="F47" s="67"/>
      <c r="G47" s="68"/>
    </row>
    <row r="48" ht="15.75" customHeight="1">
      <c r="E48" s="69"/>
      <c r="G48" s="70"/>
    </row>
    <row r="49" ht="15.75" customHeight="1">
      <c r="E49" s="71"/>
      <c r="F49" s="72"/>
      <c r="G49" s="73"/>
    </row>
    <row r="50" ht="15.75" customHeight="1"/>
    <row r="51" ht="15.75" customHeight="1">
      <c r="E51" s="65" t="s">
        <v>213</v>
      </c>
    </row>
    <row r="52" ht="15.75" customHeight="1">
      <c r="E52" s="66">
        <f>SUMIFS('Lançamentos'!$F$5:$F$538,'Lançamentos'!$G$5:$G$538,TRUE,'Lançamentos'!$D$5:$D$538,'Gráficos'!$E$44)</f>
        <v>5000</v>
      </c>
      <c r="F52" s="67"/>
      <c r="G52" s="68"/>
    </row>
    <row r="53" ht="15.75" customHeight="1">
      <c r="E53" s="69"/>
      <c r="G53" s="70"/>
    </row>
    <row r="54" ht="15.75" customHeight="1">
      <c r="E54" s="71"/>
      <c r="F54" s="72"/>
      <c r="G54" s="73"/>
    </row>
    <row r="55" ht="15.75" customHeight="1"/>
    <row r="56" ht="15.75" customHeight="1">
      <c r="E56" s="65" t="s">
        <v>214</v>
      </c>
    </row>
    <row r="57" ht="15.75" customHeight="1">
      <c r="E57" s="66">
        <f>SUMIFS('Lançamentos'!$F$5:$F$538,'Lançamentos'!$G$5:$G$538,FALSE,'Lançamentos'!$D$5:$D$538,'Gráficos'!$E$44)</f>
        <v>6200</v>
      </c>
      <c r="F57" s="67"/>
      <c r="G57" s="68"/>
    </row>
    <row r="58" ht="15.75" customHeight="1">
      <c r="E58" s="69"/>
      <c r="G58" s="70"/>
    </row>
    <row r="59" ht="15.75" customHeight="1">
      <c r="E59" s="71"/>
      <c r="F59" s="72"/>
      <c r="G59" s="73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6:D6"/>
    <mergeCell ref="E43:H43"/>
    <mergeCell ref="E44:H44"/>
    <mergeCell ref="E47:G49"/>
    <mergeCell ref="E52:G54"/>
    <mergeCell ref="E57:G59"/>
  </mergeCells>
  <dataValidations>
    <dataValidation type="list" allowBlank="1" showErrorMessage="1" sqref="E44">
      <formula1>Planilha1!$B$2:$B$35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2024-11-21T10:40:07Z</dcterms:created>
  <dc:creator>Carlos Souza</dc:creator>
</cp:coreProperties>
</file>